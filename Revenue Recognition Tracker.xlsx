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mpaigns" sheetId="2" state="visible" r:id="rId4"/>
    <sheet name="Sub-Projects (SOWs)" sheetId="3" state="visible" r:id="rId5"/>
    <sheet name="Monthly Recognition" sheetId="4" state="visible" r:id="rId6"/>
    <sheet name="Invoices - Fin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<sst xmlns="http://schemas.openxmlformats.org/spreadsheetml/2006/main" count="554" uniqueCount="200">
  <si>
    <t xml:space="preserve">Revenue Recognition Workbook — How This Is Organized</t>
  </si>
  <si>
    <t xml:space="preserve">Tab</t>
  </si>
  <si>
    <t xml:space="preserve">Purpose</t>
  </si>
  <si>
    <t xml:space="preserve">Campaigns</t>
  </si>
  <si>
    <t xml:space="preserve">One row per overarching campaign budget. Shows the total budget, how much is allocated to sub-projects/SOWs so far, how much is earned/open, and — for flex budgets — how much is still available to move to a different sub-project within that same campaign.</t>
  </si>
  <si>
    <t xml:space="preserve">Sub-Projects (SOWs)</t>
  </si>
  <si>
    <t xml:space="preserve">One row per SOW or task line, each tied to a Campaign ID. Earned-to-date and Open pull automatically from the Monthly Recognition tab, so you no longer total months by hand.</t>
  </si>
  <si>
    <t xml:space="preserve">Monthly Recognition</t>
  </si>
  <si>
    <t xml:space="preserve">One row per month per SOW (long format instead of a 20-column-wide grid). Adding a new month is just adding new rows — no need to insert columns across every campaign block. Each row also tags the invoice number tied to that revenue.</t>
  </si>
  <si>
    <t xml:space="preserve">Invoices - Finance</t>
  </si>
  <si>
    <t xml:space="preserve">The list you hand to Finance: invoice number, campaign, SOW, amount, and status (sent / not sent / confirmed). Filter to 'Not Yet Sent' each period to see exactly what still needs to go to Finance.</t>
  </si>
  <si>
    <t xml:space="preserve">Color key</t>
  </si>
  <si>
    <t xml:space="preserve">Blue text</t>
  </si>
  <si>
    <t xml:space="preserve">Editable input — type or change these directly.</t>
  </si>
  <si>
    <t xml:space="preserve">Black text</t>
  </si>
  <si>
    <t xml:space="preserve">Formula — calculated automatically, don't overwrite.</t>
  </si>
  <si>
    <t xml:space="preserve">Yellow highlight</t>
  </si>
  <si>
    <t xml:space="preserve">Data-quality flag carried over from your original file — needs a decision from you.</t>
  </si>
  <si>
    <t xml:space="preserve">Data-quality flags found in your original file</t>
  </si>
  <si>
    <t xml:space="preserve">Duplicate Campaign ID</t>
  </si>
  <si>
    <t xml:space="preserve">"Campaign UCMC-010" was used for both Strategic Counsel &amp; Advisory Support and Comms AOR. Split into CMP-06 and CMP-07 here — confirm whether they should actually share one flex pool or stay separate.</t>
  </si>
  <si>
    <t xml:space="preserve">Comms AOR has no top-level budget</t>
  </si>
  <si>
    <t xml:space="preserve">The original file never set an Original/Revised Budget for the Comms AOR campaign header. This workbook backed into $240,000 from the known monthly invoices — confirm the real approved budget.</t>
  </si>
  <si>
    <t xml:space="preserve">Landing Page Design (26-UCMC-050) has no budget</t>
  </si>
  <si>
    <t xml:space="preserve">Only a $1,032.50 earned amount exists for this SOW; Original Budget was blank in your file. Flagged for you to fill in.</t>
  </si>
  <si>
    <t xml:space="preserve">OOP Expense line with no invoice number</t>
  </si>
  <si>
    <t xml:space="preserve">Comms AOR's May OOP Expense ($6,278.58) has no invoice reference in the source file, unlike the March OOP line which cites INV-39804AO.</t>
  </si>
  <si>
    <t xml:space="preserve">Service Line Campaigns has no sub-projects</t>
  </si>
  <si>
    <t xml:space="preserve">The campaign header exists with a $0 budget but no SOWs were ever itemized under it.</t>
  </si>
  <si>
    <t xml:space="preserve">Broken reference errors in original file</t>
  </si>
  <si>
    <t xml:space="preserve">Cancer Center Pavilion and Haas F1 Partnership had broken-reference (REF) errors in the Revised Budget column of your original workbook — rebuilt from scratch here.</t>
  </si>
  <si>
    <t xml:space="preserve">Most revenue has no invoice # tied to it</t>
  </si>
  <si>
    <t xml:space="preserve">Only Haas F1 Partnership and Comms AOR embed invoice numbers in your original file. The other 5 campaigns have never had an invoice number captured against the revenue — see the Invoices - Finance tab.</t>
  </si>
  <si>
    <t xml:space="preserve">Campaign ID</t>
  </si>
  <si>
    <t xml:space="preserve">Campaign Name</t>
  </si>
  <si>
    <t xml:space="preserve">Flex?</t>
  </si>
  <si>
    <t xml:space="preserve">Original Budget</t>
  </si>
  <si>
    <t xml:space="preserve">Revised Budget</t>
  </si>
  <si>
    <t xml:space="preserve">Allocated to Sub-Projects</t>
  </si>
  <si>
    <t xml:space="preserve">Available to Reallocate (Flex)</t>
  </si>
  <si>
    <t xml:space="preserve">Total Earned</t>
  </si>
  <si>
    <t xml:space="preserve">Total Open</t>
  </si>
  <si>
    <t xml:space="preserve">Notes</t>
  </si>
  <si>
    <t xml:space="preserve">CMP-01</t>
  </si>
  <si>
    <t xml:space="preserve">Brand Campaign Creative</t>
  </si>
  <si>
    <t xml:space="preserve">Y</t>
  </si>
  <si>
    <t xml:space="preserve">Original UCMC-004.</t>
  </si>
  <si>
    <t xml:space="preserve">CMP-02</t>
  </si>
  <si>
    <t xml:space="preserve">Service Line Campaigns</t>
  </si>
  <si>
    <t xml:space="preserve">UCMC-006. No sub-projects defined yet in source file.</t>
  </si>
  <si>
    <t xml:space="preserve">CMP-03</t>
  </si>
  <si>
    <t xml:space="preserve">Cancer Center Pavilion</t>
  </si>
  <si>
    <t xml:space="preserve">Includes standalone SOW 25-UCMC-200 plus the UCMC-007 sub-project group. Original file had no usable top-level budget (broken reference error) — this total is reconstructed as the sum of its sub-projects. Confirm the real approved campaign budget.</t>
  </si>
  <si>
    <t xml:space="preserve">CMP-04</t>
  </si>
  <si>
    <t xml:space="preserve">U.S. News &amp; World Report Voting/Reputation</t>
  </si>
  <si>
    <t xml:space="preserve">CMP-05</t>
  </si>
  <si>
    <t xml:space="preserve">Haas F1 Partnership</t>
  </si>
  <si>
    <t xml:space="preserve">UCMC-009. Invoiced monthly.</t>
  </si>
  <si>
    <t xml:space="preserve">CMP-06</t>
  </si>
  <si>
    <t xml:space="preserve">Strategic Counsel &amp; Advisory Support</t>
  </si>
  <si>
    <t xml:space="preserve">UCMC-010.</t>
  </si>
  <si>
    <t xml:space="preserve">CMP-07</t>
  </si>
  <si>
    <t xml:space="preserve">Comms AOR</t>
  </si>
  <si>
    <t xml:space="preserve">Also referenced as UCMC-010 in source file (duplicate ID) — no top-level budget was set originally; reconstructed as the sum of known invoices. Confirm real contracted budget.</t>
  </si>
  <si>
    <t xml:space="preserve">TOTAL</t>
  </si>
  <si>
    <t xml:space="preserve">SOW/Task ID</t>
  </si>
  <si>
    <t xml:space="preserve">Legacy Group Ref</t>
  </si>
  <si>
    <t xml:space="preserve">Description</t>
  </si>
  <si>
    <t xml:space="preserve">Earned to Date</t>
  </si>
  <si>
    <t xml:space="preserve">Open</t>
  </si>
  <si>
    <t xml:space="preserve">Status</t>
  </si>
  <si>
    <t xml:space="preserve">25-UCMC-016</t>
  </si>
  <si>
    <t xml:space="preserve">UCMC-004</t>
  </si>
  <si>
    <t xml:space="preserve">Branding Campaign - Concepting</t>
  </si>
  <si>
    <t xml:space="preserve">In Progress</t>
  </si>
  <si>
    <t xml:space="preserve">25-UCMC-018</t>
  </si>
  <si>
    <t xml:space="preserve">Forecasted - Brand Campaign Deliverables</t>
  </si>
  <si>
    <t xml:space="preserve">Not Started</t>
  </si>
  <si>
    <t xml:space="preserve">25-UCMC-019</t>
  </si>
  <si>
    <t xml:space="preserve">Branding Campaign - Video/Photoshoot</t>
  </si>
  <si>
    <t xml:space="preserve">25-UCMC-023</t>
  </si>
  <si>
    <t xml:space="preserve">Brand Campaign Concept Testing</t>
  </si>
  <si>
    <t xml:space="preserve">Complete</t>
  </si>
  <si>
    <t xml:space="preserve">25-UCMC-200</t>
  </si>
  <si>
    <t xml:space="preserve">(direct)</t>
  </si>
  <si>
    <t xml:space="preserve">Cancer Pavilion Plan</t>
  </si>
  <si>
    <t xml:space="preserve">26-UCMC-047</t>
  </si>
  <si>
    <t xml:space="preserve">UCMC-007</t>
  </si>
  <si>
    <t xml:space="preserve">Creative Concepting</t>
  </si>
  <si>
    <t xml:space="preserve">CMP3-EXTRA1</t>
  </si>
  <si>
    <t xml:space="preserve">Creative Development &amp; Production</t>
  </si>
  <si>
    <t xml:space="preserve">No SOW code in source file.</t>
  </si>
  <si>
    <t xml:space="preserve">26-UCMC-050</t>
  </si>
  <si>
    <t xml:space="preserve">Landing Page Design</t>
  </si>
  <si>
    <t xml:space="preserve">No Original Budget in source file — confirm amount.</t>
  </si>
  <si>
    <t xml:space="preserve">26-UCMC-036</t>
  </si>
  <si>
    <t xml:space="preserve">Integrated Engagement Strategy &amp; Plan</t>
  </si>
  <si>
    <t xml:space="preserve">26-UCMC-037</t>
  </si>
  <si>
    <t xml:space="preserve">Program Governance Meetings</t>
  </si>
  <si>
    <t xml:space="preserve">26-UCMC-040</t>
  </si>
  <si>
    <t xml:space="preserve">SEO Strategy &amp; Optimization</t>
  </si>
  <si>
    <t xml:space="preserve">26-UCMC-041</t>
  </si>
  <si>
    <t xml:space="preserve">Earned Media</t>
  </si>
  <si>
    <t xml:space="preserve">26-UCMC-038</t>
  </si>
  <si>
    <t xml:space="preserve">Paid Media Expenses</t>
  </si>
  <si>
    <t xml:space="preserve">26-UCMC-039</t>
  </si>
  <si>
    <t xml:space="preserve">Paid Media Labor &amp; Measurement</t>
  </si>
  <si>
    <t xml:space="preserve">26-UCMC-042</t>
  </si>
  <si>
    <t xml:space="preserve">Event Planning</t>
  </si>
  <si>
    <t xml:space="preserve">26-UCMC-043</t>
  </si>
  <si>
    <t xml:space="preserve">Event Travel OOP Expenses</t>
  </si>
  <si>
    <t xml:space="preserve">26-UCMC-044</t>
  </si>
  <si>
    <t xml:space="preserve">Community Engagement</t>
  </si>
  <si>
    <t xml:space="preserve">26-UCMC-029</t>
  </si>
  <si>
    <t xml:space="preserve">Account Management &amp; Advisory</t>
  </si>
  <si>
    <t xml:space="preserve">CMP3-EXTRA2</t>
  </si>
  <si>
    <t xml:space="preserve">Event Production &amp; Vendor Estimated Hard Cost</t>
  </si>
  <si>
    <t xml:space="preserve">25-UCMC-021</t>
  </si>
  <si>
    <t xml:space="preserve">U.S. News &amp; World Report Voting Campaign</t>
  </si>
  <si>
    <t xml:space="preserve">26-UCMC-035</t>
  </si>
  <si>
    <t xml:space="preserve">UChicago National Reputation Campaign - Conference Support</t>
  </si>
  <si>
    <t xml:space="preserve">CMP5-SOW1</t>
  </si>
  <si>
    <t xml:space="preserve">UCMC-009</t>
  </si>
  <si>
    <t xml:space="preserve">Haas F1 Partnership: Overall Strategic Support</t>
  </si>
  <si>
    <t xml:space="preserve">Invoiced monthly — see Invoices - Finance tab for the 12 monthly invoice lines.</t>
  </si>
  <si>
    <t xml:space="preserve">25-UCMC-001</t>
  </si>
  <si>
    <t xml:space="preserve">UCMC-010</t>
  </si>
  <si>
    <t xml:space="preserve">UChicago Account Oversight</t>
  </si>
  <si>
    <t xml:space="preserve">CMP6-EXTRA1</t>
  </si>
  <si>
    <t xml:space="preserve">OOP Expenses</t>
  </si>
  <si>
    <t xml:space="preserve">CMP6-EXTRA2</t>
  </si>
  <si>
    <t xml:space="preserve">Annual Planning</t>
  </si>
  <si>
    <t xml:space="preserve">CMP7-SOW1</t>
  </si>
  <si>
    <t xml:space="preserve">UCMC-010 (dup)</t>
  </si>
  <si>
    <t xml:space="preserve">Comms AOR Retainer</t>
  </si>
  <si>
    <t xml:space="preserve">Budget backed into from known monthly invoices — confirm actual contracted amount.</t>
  </si>
  <si>
    <t xml:space="preserve">CMP7-EXTRA1</t>
  </si>
  <si>
    <t xml:space="preserve">Month</t>
  </si>
  <si>
    <t xml:space="preserve">Type</t>
  </si>
  <si>
    <t xml:space="preserve">Amount</t>
  </si>
  <si>
    <t xml:space="preserve">Invoice #</t>
  </si>
  <si>
    <t xml:space="preserve">Recognized?</t>
  </si>
  <si>
    <t xml:space="preserve">Nov-25</t>
  </si>
  <si>
    <t xml:space="preserve">Fee</t>
  </si>
  <si>
    <t xml:space="preserve">Not yet assigned</t>
  </si>
  <si>
    <t xml:space="preserve">Dec-25</t>
  </si>
  <si>
    <t xml:space="preserve">Jan-26</t>
  </si>
  <si>
    <t xml:space="preserve">Feb-26</t>
  </si>
  <si>
    <t xml:space="preserve">Apr-26</t>
  </si>
  <si>
    <t xml:space="preserve">May-26</t>
  </si>
  <si>
    <t xml:space="preserve">Mar-26</t>
  </si>
  <si>
    <t xml:space="preserve">INV-38952AF</t>
  </si>
  <si>
    <t xml:space="preserve">Jan Advisory/shot list</t>
  </si>
  <si>
    <t xml:space="preserve">INV-38953AF</t>
  </si>
  <si>
    <t xml:space="preserve">Feb Advisory/Landing pg/Social</t>
  </si>
  <si>
    <t xml:space="preserve">Remainder of Feb invoice, recognized in April per source file</t>
  </si>
  <si>
    <t xml:space="preserve">INV-39386AF</t>
  </si>
  <si>
    <t xml:space="preserve">March</t>
  </si>
  <si>
    <t xml:space="preserve">INV-39927AF</t>
  </si>
  <si>
    <t xml:space="preserve">April Advisory</t>
  </si>
  <si>
    <t xml:space="preserve">INV-40021AF</t>
  </si>
  <si>
    <t xml:space="preserve">May Advisory</t>
  </si>
  <si>
    <t xml:space="preserve">Expense</t>
  </si>
  <si>
    <t xml:space="preserve">INV-37370AF</t>
  </si>
  <si>
    <t xml:space="preserve">INV-37371AF</t>
  </si>
  <si>
    <t xml:space="preserve">INV-37372AF</t>
  </si>
  <si>
    <t xml:space="preserve">INV-39804AO</t>
  </si>
  <si>
    <t xml:space="preserve">OOP Expenses — no invoice # in source file</t>
  </si>
  <si>
    <t xml:space="preserve">Campaign</t>
  </si>
  <si>
    <t xml:space="preserve">SOW/Task ID(s)</t>
  </si>
  <si>
    <t xml:space="preserve">Period</t>
  </si>
  <si>
    <t xml:space="preserve">Date Sent</t>
  </si>
  <si>
    <t xml:space="preserve">Notes for Finance</t>
  </si>
  <si>
    <t xml:space="preserve">Sent to Finance</t>
  </si>
  <si>
    <t xml:space="preserve">Feb-26 / Apr-26</t>
  </si>
  <si>
    <t xml:space="preserve">Recognized across two months in source file — confirm with Finance this is one invoice.</t>
  </si>
  <si>
    <t xml:space="preserve">INV-40022AF</t>
  </si>
  <si>
    <t xml:space="preserve">Jun-26</t>
  </si>
  <si>
    <t xml:space="preserve">Not Yet Sent</t>
  </si>
  <si>
    <t xml:space="preserve">Not yet recognized — $15,000 open.</t>
  </si>
  <si>
    <t xml:space="preserve">INV-40023AF</t>
  </si>
  <si>
    <t xml:space="preserve">Jul-26</t>
  </si>
  <si>
    <t xml:space="preserve">Not yet recognized — $17,250 open.</t>
  </si>
  <si>
    <t xml:space="preserve">INV-40024AF</t>
  </si>
  <si>
    <t xml:space="preserve">Aug-26</t>
  </si>
  <si>
    <t xml:space="preserve">Not yet recognized — $21,500 open.</t>
  </si>
  <si>
    <t xml:space="preserve">INV-40025AF</t>
  </si>
  <si>
    <t xml:space="preserve">Sep-26</t>
  </si>
  <si>
    <t xml:space="preserve">Not yet recognized — $14,000 open.</t>
  </si>
  <si>
    <t xml:space="preserve">INV-40026AF</t>
  </si>
  <si>
    <t xml:space="preserve">Oct-26</t>
  </si>
  <si>
    <t xml:space="preserve">INV-40027AF</t>
  </si>
  <si>
    <t xml:space="preserve">Nov-26</t>
  </si>
  <si>
    <t xml:space="preserve">INV-40028AF</t>
  </si>
  <si>
    <t xml:space="preserve">Dec-26</t>
  </si>
  <si>
    <t xml:space="preserve">INV-37373AF</t>
  </si>
  <si>
    <t xml:space="preserve">Not yet recognized — $60,000 open.</t>
  </si>
  <si>
    <t xml:space="preserve">OOP Expenses.</t>
  </si>
  <si>
    <t xml:space="preserve">REVENUE WITH NO INVOICE # ASSIGNED YET</t>
  </si>
  <si>
    <t xml:space="preserve">Total recognized revenue across Brand Campaign Creative, Cancer Center Pavilion, U.S. News, Strategic Counsel, and part of Comms AOR that has never been tied to an invoice number. Assign invoice #s in Monthly Recognition column F to bring this to zero.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</si>
</sst>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s">
        <v>4</v>
      </c>
    </row>
    <row r="5" customFormat="false" ht="30" hidden="false" customHeight="true" outlineLevel="0" collapsed="false">
      <c r="A5" s="2" t="s">
        <v>5</v>
      </c>
      <c r="B5" s="4" t="s">
        <v>6</v>
      </c>
    </row>
    <row r="6" customFormat="false" ht="30" hidden="false" customHeight="true" outlineLevel="0" collapsed="false">
      <c r="A6" s="2" t="s">
        <v>7</v>
      </c>
      <c r="B6" s="4" t="s">
        <v>8</v>
      </c>
    </row>
    <row r="7" customFormat="false" ht="30" hidden="false" customHeight="true" outlineLevel="0" collapsed="false">
      <c r="A7" s="2" t="s">
        <v>9</v>
      </c>
      <c r="B7" s="4" t="s">
        <v>10</v>
      </c>
    </row>
    <row r="9" customFormat="false" ht="30" hidden="false" customHeight="true" outlineLevel="0" collapsed="false">
      <c r="A9" s="2" t="s">
        <v>11</v>
      </c>
      <c r="B9" s="3"/>
    </row>
    <row r="10" customFormat="false" ht="15" hidden="false" customHeight="false" outlineLevel="0" collapsed="false">
      <c r="A10" s="5" t="s">
        <v>12</v>
      </c>
      <c r="B10" s="6" t="s">
        <v>13</v>
      </c>
    </row>
    <row r="11" customFormat="false" ht="15" hidden="false" customHeight="false" outlineLevel="0" collapsed="false">
      <c r="A11" s="6" t="s">
        <v>14</v>
      </c>
      <c r="B11" s="6" t="s">
        <v>15</v>
      </c>
    </row>
    <row r="12" customFormat="false" ht="15" hidden="false" customHeight="false" outlineLevel="0" collapsed="false">
      <c r="A12" s="7" t="s">
        <v>16</v>
      </c>
      <c r="B12" s="6" t="s">
        <v>17</v>
      </c>
    </row>
    <row r="14" customFormat="false" ht="30" hidden="false" customHeight="true" outlineLevel="0" collapsed="false">
      <c r="A14" s="2" t="s">
        <v>18</v>
      </c>
      <c r="B14" s="3"/>
    </row>
    <row r="15" customFormat="false" ht="30" hidden="false" customHeight="true" outlineLevel="0" collapsed="false">
      <c r="A15" s="8" t="s">
        <v>19</v>
      </c>
      <c r="B15" s="9" t="s">
        <v>20</v>
      </c>
    </row>
    <row r="16" customFormat="false" ht="30" hidden="false" customHeight="true" outlineLevel="0" collapsed="false">
      <c r="A16" s="8" t="s">
        <v>21</v>
      </c>
      <c r="B16" s="9" t="s">
        <v>22</v>
      </c>
    </row>
    <row r="17" customFormat="false" ht="30" hidden="false" customHeight="true" outlineLevel="0" collapsed="false">
      <c r="A17" s="8" t="s">
        <v>23</v>
      </c>
      <c r="B17" s="9" t="s">
        <v>24</v>
      </c>
    </row>
    <row r="18" customFormat="false" ht="30" hidden="false" customHeight="true" outlineLevel="0" collapsed="false">
      <c r="A18" s="8" t="s">
        <v>25</v>
      </c>
      <c r="B18" s="9" t="s">
        <v>26</v>
      </c>
    </row>
    <row r="19" customFormat="false" ht="30" hidden="false" customHeight="true" outlineLevel="0" collapsed="false">
      <c r="A19" s="8" t="s">
        <v>27</v>
      </c>
      <c r="B19" s="9" t="s">
        <v>28</v>
      </c>
    </row>
    <row r="20" customFormat="false" ht="30" hidden="false" customHeight="true" outlineLevel="0" collapsed="false">
      <c r="A20" s="8" t="s">
        <v>29</v>
      </c>
      <c r="B20" s="9" t="s">
        <v>30</v>
      </c>
    </row>
    <row r="21" customFormat="false" ht="30" hidden="false" customHeight="true" outlineLevel="0" collapsed="false">
      <c r="A21" s="8" t="s">
        <v>31</v>
      </c>
      <c r="B21" s="9" t="s">
        <v>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7" min="6" style="0" width="20"/>
    <col collapsed="false" customWidth="true" hidden="false" outlineLevel="0" max="9" min="8" style="0" width="16"/>
    <col collapsed="false" customWidth="true" hidden="false" outlineLevel="0" max="10" min="10" style="0" width="46"/>
  </cols>
  <sheetData>
    <row r="1" customFormat="false" ht="30" hidden="false" customHeight="true" outlineLevel="0" collapsed="false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</row>
    <row r="2" customFormat="false" ht="15" hidden="false" customHeight="false" outlineLevel="0" collapsed="false">
      <c r="A2" s="11" t="s">
        <v>43</v>
      </c>
      <c r="B2" s="11" t="s">
        <v>44</v>
      </c>
      <c r="C2" s="12" t="s">
        <v>45</v>
      </c>
      <c r="D2" s="13" t="n">
        <v>2015000</v>
      </c>
      <c r="E2" s="13" t="n">
        <v>2015000</v>
      </c>
      <c r="F2" s="14" t="n">
        <f aca="false">SUMIF('Sub-Projects (SOWs)'!$B$2:$B$40,$A2,'Sub-Projects (SOWs)'!$F$2:$F$40)</f>
        <v>2015000</v>
      </c>
      <c r="G2" s="14" t="n">
        <f aca="false">E2-F2</f>
        <v>0</v>
      </c>
      <c r="H2" s="14" t="n">
        <f aca="false">SUMIF('Sub-Projects (SOWs)'!$B$2:$B$40,$A2,'Sub-Projects (SOWs)'!$G$2:$G$40)</f>
        <v>236349.75</v>
      </c>
      <c r="I2" s="14" t="n">
        <f aca="false">E2-H2</f>
        <v>1778650.25</v>
      </c>
      <c r="J2" s="15" t="s">
        <v>46</v>
      </c>
    </row>
    <row r="3" customFormat="false" ht="15" hidden="false" customHeight="false" outlineLevel="0" collapsed="false">
      <c r="A3" s="11" t="s">
        <v>47</v>
      </c>
      <c r="B3" s="11" t="s">
        <v>48</v>
      </c>
      <c r="C3" s="12" t="s">
        <v>45</v>
      </c>
      <c r="D3" s="13" t="n">
        <v>0</v>
      </c>
      <c r="E3" s="13" t="n">
        <v>0</v>
      </c>
      <c r="F3" s="14" t="n">
        <f aca="false">SUMIF('Sub-Projects (SOWs)'!$B$2:$B$40,$A3,'Sub-Projects (SOWs)'!$F$2:$F$40)</f>
        <v>0</v>
      </c>
      <c r="G3" s="14" t="n">
        <f aca="false">E3-F3</f>
        <v>0</v>
      </c>
      <c r="H3" s="14" t="n">
        <f aca="false">SUMIF('Sub-Projects (SOWs)'!$B$2:$B$40,$A3,'Sub-Projects (SOWs)'!$G$2:$G$40)</f>
        <v>0</v>
      </c>
      <c r="I3" s="14" t="n">
        <f aca="false">E3-H3</f>
        <v>0</v>
      </c>
      <c r="J3" s="15" t="s">
        <v>49</v>
      </c>
    </row>
    <row r="4" customFormat="false" ht="15" hidden="false" customHeight="false" outlineLevel="0" collapsed="false">
      <c r="A4" s="16" t="s">
        <v>50</v>
      </c>
      <c r="B4" s="16" t="s">
        <v>51</v>
      </c>
      <c r="C4" s="17" t="s">
        <v>45</v>
      </c>
      <c r="D4" s="18" t="n">
        <v>2215000</v>
      </c>
      <c r="E4" s="18" t="n">
        <v>2215000</v>
      </c>
      <c r="F4" s="19" t="n">
        <f aca="false">SUMIF('Sub-Projects (SOWs)'!$B$2:$B$40,$A4,'Sub-Projects (SOWs)'!$F$2:$F$40)</f>
        <v>2215000</v>
      </c>
      <c r="G4" s="19" t="n">
        <f aca="false">E4-F4</f>
        <v>0</v>
      </c>
      <c r="H4" s="19" t="n">
        <f aca="false">SUMIF('Sub-Projects (SOWs)'!$B$2:$B$40,$A4,'Sub-Projects (SOWs)'!$G$2:$G$40)</f>
        <v>256086.25</v>
      </c>
      <c r="I4" s="19" t="n">
        <f aca="false">E4-H4</f>
        <v>1958913.75</v>
      </c>
      <c r="J4" s="20" t="s">
        <v>52</v>
      </c>
    </row>
    <row r="5" customFormat="false" ht="15" hidden="false" customHeight="false" outlineLevel="0" collapsed="false">
      <c r="A5" s="11" t="s">
        <v>53</v>
      </c>
      <c r="B5" s="11" t="s">
        <v>54</v>
      </c>
      <c r="C5" s="12" t="s">
        <v>45</v>
      </c>
      <c r="D5" s="13" t="n">
        <v>528000</v>
      </c>
      <c r="E5" s="13" t="n">
        <v>528000</v>
      </c>
      <c r="F5" s="14" t="n">
        <f aca="false">SUMIF('Sub-Projects (SOWs)'!$B$2:$B$40,$A5,'Sub-Projects (SOWs)'!$F$2:$F$40)</f>
        <v>528000</v>
      </c>
      <c r="G5" s="14" t="n">
        <f aca="false">E5-F5</f>
        <v>0</v>
      </c>
      <c r="H5" s="14" t="n">
        <f aca="false">SUMIF('Sub-Projects (SOWs)'!$B$2:$B$40,$A5,'Sub-Projects (SOWs)'!$G$2:$G$40)</f>
        <v>514000</v>
      </c>
      <c r="I5" s="14" t="n">
        <f aca="false">E5-H5</f>
        <v>14000</v>
      </c>
      <c r="J5" s="15"/>
    </row>
    <row r="6" customFormat="false" ht="15" hidden="false" customHeight="false" outlineLevel="0" collapsed="false">
      <c r="A6" s="11" t="s">
        <v>55</v>
      </c>
      <c r="B6" s="11" t="s">
        <v>56</v>
      </c>
      <c r="C6" s="12" t="s">
        <v>45</v>
      </c>
      <c r="D6" s="13" t="n">
        <v>247250</v>
      </c>
      <c r="E6" s="13" t="n">
        <v>247250</v>
      </c>
      <c r="F6" s="14" t="n">
        <f aca="false">SUMIF('Sub-Projects (SOWs)'!$B$2:$B$40,$A6,'Sub-Projects (SOWs)'!$F$2:$F$40)</f>
        <v>247250</v>
      </c>
      <c r="G6" s="14" t="n">
        <f aca="false">E6-F6</f>
        <v>0</v>
      </c>
      <c r="H6" s="14" t="n">
        <f aca="false">SUMIF('Sub-Projects (SOWs)'!$B$2:$B$40,$A6,'Sub-Projects (SOWs)'!$G$2:$G$40)</f>
        <v>122500</v>
      </c>
      <c r="I6" s="14" t="n">
        <f aca="false">E6-H6</f>
        <v>124750</v>
      </c>
      <c r="J6" s="15" t="s">
        <v>57</v>
      </c>
    </row>
    <row r="7" customFormat="false" ht="15" hidden="false" customHeight="false" outlineLevel="0" collapsed="false">
      <c r="A7" s="11" t="s">
        <v>58</v>
      </c>
      <c r="B7" s="11" t="s">
        <v>59</v>
      </c>
      <c r="C7" s="12" t="s">
        <v>45</v>
      </c>
      <c r="D7" s="13" t="n">
        <v>490000</v>
      </c>
      <c r="E7" s="13" t="n">
        <v>490000</v>
      </c>
      <c r="F7" s="14" t="n">
        <f aca="false">SUMIF('Sub-Projects (SOWs)'!$B$2:$B$40,$A7,'Sub-Projects (SOWs)'!$F$2:$F$40)</f>
        <v>490000</v>
      </c>
      <c r="G7" s="14" t="n">
        <f aca="false">E7-F7</f>
        <v>0</v>
      </c>
      <c r="H7" s="14" t="n">
        <f aca="false">SUMIF('Sub-Projects (SOWs)'!$B$2:$B$40,$A7,'Sub-Projects (SOWs)'!$G$2:$G$40)</f>
        <v>116159.3</v>
      </c>
      <c r="I7" s="14" t="n">
        <f aca="false">E7-H7</f>
        <v>373840.7</v>
      </c>
      <c r="J7" s="15" t="s">
        <v>60</v>
      </c>
    </row>
    <row r="8" customFormat="false" ht="15" hidden="false" customHeight="false" outlineLevel="0" collapsed="false">
      <c r="A8" s="16" t="s">
        <v>61</v>
      </c>
      <c r="B8" s="16" t="s">
        <v>62</v>
      </c>
      <c r="C8" s="17" t="s">
        <v>45</v>
      </c>
      <c r="D8" s="18" t="n">
        <v>255153.5</v>
      </c>
      <c r="E8" s="18" t="n">
        <v>255153.5</v>
      </c>
      <c r="F8" s="19" t="n">
        <f aca="false">SUMIF('Sub-Projects (SOWs)'!$B$2:$B$40,$A8,'Sub-Projects (SOWs)'!$F$2:$F$40)</f>
        <v>255153.5</v>
      </c>
      <c r="G8" s="19" t="n">
        <f aca="false">E8-F8</f>
        <v>0</v>
      </c>
      <c r="H8" s="19" t="n">
        <f aca="false">SUMIF('Sub-Projects (SOWs)'!$B$2:$B$40,$A8,'Sub-Projects (SOWs)'!$G$2:$G$40)</f>
        <v>195153.5</v>
      </c>
      <c r="I8" s="19" t="n">
        <f aca="false">E8-H8</f>
        <v>60000</v>
      </c>
      <c r="J8" s="20" t="s">
        <v>63</v>
      </c>
    </row>
    <row r="9" customFormat="false" ht="15" hidden="false" customHeight="false" outlineLevel="0" collapsed="false">
      <c r="A9" s="21"/>
      <c r="B9" s="22" t="s">
        <v>64</v>
      </c>
      <c r="C9" s="21"/>
      <c r="D9" s="23" t="n">
        <f aca="false">SUM(D2:D8)</f>
        <v>5750403.5</v>
      </c>
      <c r="E9" s="23" t="n">
        <f aca="false">SUM(E2:E8)</f>
        <v>5750403.5</v>
      </c>
      <c r="F9" s="23" t="n">
        <f aca="false">SUM(F2:F8)</f>
        <v>5750403.5</v>
      </c>
      <c r="G9" s="23" t="n">
        <f aca="false">SUM(G2:G8)</f>
        <v>0</v>
      </c>
      <c r="H9" s="23" t="n">
        <f aca="false">SUM(H2:H8)</f>
        <v>1440248.8</v>
      </c>
      <c r="I9" s="23" t="n">
        <f aca="false">SUM(I2:I8)</f>
        <v>4310154.7</v>
      </c>
      <c r="J9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8" min="5" style="0" width="16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0" t="s">
        <v>65</v>
      </c>
      <c r="B1" s="10" t="s">
        <v>33</v>
      </c>
      <c r="C1" s="10" t="s">
        <v>66</v>
      </c>
      <c r="D1" s="10" t="s">
        <v>67</v>
      </c>
      <c r="E1" s="10" t="s">
        <v>36</v>
      </c>
      <c r="F1" s="10" t="s">
        <v>37</v>
      </c>
      <c r="G1" s="10" t="s">
        <v>68</v>
      </c>
      <c r="H1" s="10" t="s">
        <v>69</v>
      </c>
      <c r="I1" s="10" t="s">
        <v>70</v>
      </c>
      <c r="J1" s="10" t="s">
        <v>42</v>
      </c>
    </row>
    <row r="2" customFormat="false" ht="15" hidden="false" customHeight="false" outlineLevel="0" collapsed="false">
      <c r="A2" s="11" t="s">
        <v>71</v>
      </c>
      <c r="B2" s="12" t="s">
        <v>43</v>
      </c>
      <c r="C2" s="24" t="s">
        <v>72</v>
      </c>
      <c r="D2" s="11" t="s">
        <v>73</v>
      </c>
      <c r="E2" s="13" t="n">
        <v>300000</v>
      </c>
      <c r="F2" s="13" t="n">
        <v>300000</v>
      </c>
      <c r="G2" s="14" t="n">
        <f aca="false">SUMIF('Monthly Recognition'!$A$2:$A$100,$A2,'Monthly Recognition'!$E$2:$E$100)</f>
        <v>221349.75</v>
      </c>
      <c r="H2" s="14" t="n">
        <f aca="false">F2-G2</f>
        <v>78650.25</v>
      </c>
      <c r="I2" s="12" t="s">
        <v>74</v>
      </c>
      <c r="J2" s="15"/>
    </row>
    <row r="3" customFormat="false" ht="15" hidden="false" customHeight="false" outlineLevel="0" collapsed="false">
      <c r="A3" s="11" t="s">
        <v>75</v>
      </c>
      <c r="B3" s="12" t="s">
        <v>43</v>
      </c>
      <c r="C3" s="24" t="s">
        <v>72</v>
      </c>
      <c r="D3" s="11" t="s">
        <v>76</v>
      </c>
      <c r="E3" s="13" t="n">
        <v>700000</v>
      </c>
      <c r="F3" s="13" t="n">
        <v>700000</v>
      </c>
      <c r="G3" s="14" t="n">
        <f aca="false">SUMIF('Monthly Recognition'!$A$2:$A$100,$A3,'Monthly Recognition'!$E$2:$E$100)</f>
        <v>0</v>
      </c>
      <c r="H3" s="14" t="n">
        <f aca="false">F3-G3</f>
        <v>700000</v>
      </c>
      <c r="I3" s="12" t="s">
        <v>77</v>
      </c>
      <c r="J3" s="15"/>
    </row>
    <row r="4" customFormat="false" ht="15" hidden="false" customHeight="false" outlineLevel="0" collapsed="false">
      <c r="A4" s="11" t="s">
        <v>78</v>
      </c>
      <c r="B4" s="12" t="s">
        <v>43</v>
      </c>
      <c r="C4" s="24" t="s">
        <v>72</v>
      </c>
      <c r="D4" s="11" t="s">
        <v>79</v>
      </c>
      <c r="E4" s="13" t="n">
        <v>1000000</v>
      </c>
      <c r="F4" s="13" t="n">
        <v>1000000</v>
      </c>
      <c r="G4" s="14" t="n">
        <f aca="false">SUMIF('Monthly Recognition'!$A$2:$A$100,$A4,'Monthly Recognition'!$E$2:$E$100)</f>
        <v>0</v>
      </c>
      <c r="H4" s="14" t="n">
        <f aca="false">F4-G4</f>
        <v>1000000</v>
      </c>
      <c r="I4" s="12" t="s">
        <v>77</v>
      </c>
      <c r="J4" s="15"/>
    </row>
    <row r="5" customFormat="false" ht="15" hidden="false" customHeight="false" outlineLevel="0" collapsed="false">
      <c r="A5" s="11" t="s">
        <v>80</v>
      </c>
      <c r="B5" s="12" t="s">
        <v>43</v>
      </c>
      <c r="C5" s="24" t="s">
        <v>72</v>
      </c>
      <c r="D5" s="11" t="s">
        <v>81</v>
      </c>
      <c r="E5" s="13" t="n">
        <v>15000</v>
      </c>
      <c r="F5" s="13" t="n">
        <v>15000</v>
      </c>
      <c r="G5" s="14" t="n">
        <f aca="false">SUMIF('Monthly Recognition'!$A$2:$A$100,$A5,'Monthly Recognition'!$E$2:$E$100)</f>
        <v>15000</v>
      </c>
      <c r="H5" s="14" t="n">
        <f aca="false">F5-G5</f>
        <v>0</v>
      </c>
      <c r="I5" s="12" t="s">
        <v>82</v>
      </c>
      <c r="J5" s="15"/>
    </row>
    <row r="6" customFormat="false" ht="15" hidden="false" customHeight="false" outlineLevel="0" collapsed="false">
      <c r="A6" s="11" t="s">
        <v>83</v>
      </c>
      <c r="B6" s="12" t="s">
        <v>50</v>
      </c>
      <c r="C6" s="24" t="s">
        <v>84</v>
      </c>
      <c r="D6" s="11" t="s">
        <v>85</v>
      </c>
      <c r="E6" s="13" t="n">
        <v>125000</v>
      </c>
      <c r="F6" s="13" t="n">
        <v>125000</v>
      </c>
      <c r="G6" s="14" t="n">
        <f aca="false">SUMIF('Monthly Recognition'!$A$2:$A$100,$A6,'Monthly Recognition'!$E$2:$E$100)</f>
        <v>125000</v>
      </c>
      <c r="H6" s="14" t="n">
        <f aca="false">F6-G6</f>
        <v>0</v>
      </c>
      <c r="I6" s="12" t="s">
        <v>74</v>
      </c>
      <c r="J6" s="15"/>
    </row>
    <row r="7" customFormat="false" ht="15" hidden="false" customHeight="false" outlineLevel="0" collapsed="false">
      <c r="A7" s="11" t="s">
        <v>86</v>
      </c>
      <c r="B7" s="12" t="s">
        <v>50</v>
      </c>
      <c r="C7" s="24" t="s">
        <v>87</v>
      </c>
      <c r="D7" s="11" t="s">
        <v>88</v>
      </c>
      <c r="E7" s="13" t="n">
        <v>175000</v>
      </c>
      <c r="F7" s="13" t="n">
        <v>175000</v>
      </c>
      <c r="G7" s="14" t="n">
        <f aca="false">SUMIF('Monthly Recognition'!$A$2:$A$100,$A7,'Monthly Recognition'!$E$2:$E$100)</f>
        <v>54351.25</v>
      </c>
      <c r="H7" s="14" t="n">
        <f aca="false">F7-G7</f>
        <v>120648.75</v>
      </c>
      <c r="I7" s="12" t="s">
        <v>74</v>
      </c>
      <c r="J7" s="15"/>
    </row>
    <row r="8" customFormat="false" ht="15" hidden="false" customHeight="false" outlineLevel="0" collapsed="false">
      <c r="A8" s="11" t="s">
        <v>89</v>
      </c>
      <c r="B8" s="12" t="s">
        <v>50</v>
      </c>
      <c r="C8" s="24" t="s">
        <v>87</v>
      </c>
      <c r="D8" s="11" t="s">
        <v>90</v>
      </c>
      <c r="E8" s="13" t="n">
        <v>450000</v>
      </c>
      <c r="F8" s="13" t="n">
        <v>450000</v>
      </c>
      <c r="G8" s="14" t="n">
        <f aca="false">SUMIF('Monthly Recognition'!$A$2:$A$100,$A8,'Monthly Recognition'!$E$2:$E$100)</f>
        <v>0</v>
      </c>
      <c r="H8" s="14" t="n">
        <f aca="false">F8-G8</f>
        <v>450000</v>
      </c>
      <c r="I8" s="12" t="s">
        <v>77</v>
      </c>
      <c r="J8" s="15" t="s">
        <v>91</v>
      </c>
    </row>
    <row r="9" customFormat="false" ht="15" hidden="false" customHeight="false" outlineLevel="0" collapsed="false">
      <c r="A9" s="16" t="s">
        <v>92</v>
      </c>
      <c r="B9" s="17" t="s">
        <v>50</v>
      </c>
      <c r="C9" s="25" t="s">
        <v>87</v>
      </c>
      <c r="D9" s="16" t="s">
        <v>93</v>
      </c>
      <c r="E9" s="18" t="n">
        <v>0</v>
      </c>
      <c r="F9" s="18" t="n">
        <v>0</v>
      </c>
      <c r="G9" s="19" t="n">
        <f aca="false">SUMIF('Monthly Recognition'!$A$2:$A$100,$A9,'Monthly Recognition'!$E$2:$E$100)</f>
        <v>1032.5</v>
      </c>
      <c r="H9" s="19" t="n">
        <f aca="false">F9-G9</f>
        <v>-1032.5</v>
      </c>
      <c r="I9" s="17" t="s">
        <v>74</v>
      </c>
      <c r="J9" s="20" t="s">
        <v>94</v>
      </c>
    </row>
    <row r="10" customFormat="false" ht="15" hidden="false" customHeight="false" outlineLevel="0" collapsed="false">
      <c r="A10" s="11" t="s">
        <v>95</v>
      </c>
      <c r="B10" s="12" t="s">
        <v>50</v>
      </c>
      <c r="C10" s="24" t="s">
        <v>87</v>
      </c>
      <c r="D10" s="11" t="s">
        <v>96</v>
      </c>
      <c r="E10" s="13" t="n">
        <v>85000</v>
      </c>
      <c r="F10" s="13" t="n">
        <v>85000</v>
      </c>
      <c r="G10" s="14" t="n">
        <f aca="false">SUMIF('Monthly Recognition'!$A$2:$A$100,$A10,'Monthly Recognition'!$E$2:$E$100)</f>
        <v>10001.25</v>
      </c>
      <c r="H10" s="14" t="n">
        <f aca="false">F10-G10</f>
        <v>74998.75</v>
      </c>
      <c r="I10" s="12" t="s">
        <v>74</v>
      </c>
      <c r="J10" s="15"/>
    </row>
    <row r="11" customFormat="false" ht="15" hidden="false" customHeight="false" outlineLevel="0" collapsed="false">
      <c r="A11" s="11" t="s">
        <v>97</v>
      </c>
      <c r="B11" s="12" t="s">
        <v>50</v>
      </c>
      <c r="C11" s="24" t="s">
        <v>87</v>
      </c>
      <c r="D11" s="11" t="s">
        <v>98</v>
      </c>
      <c r="E11" s="13" t="n">
        <v>65000</v>
      </c>
      <c r="F11" s="13" t="n">
        <v>65000</v>
      </c>
      <c r="G11" s="14" t="n">
        <f aca="false">SUMIF('Monthly Recognition'!$A$2:$A$100,$A11,'Monthly Recognition'!$E$2:$E$100)</f>
        <v>970</v>
      </c>
      <c r="H11" s="14" t="n">
        <f aca="false">F11-G11</f>
        <v>64030</v>
      </c>
      <c r="I11" s="12" t="s">
        <v>74</v>
      </c>
      <c r="J11" s="15"/>
    </row>
    <row r="12" customFormat="false" ht="15" hidden="false" customHeight="false" outlineLevel="0" collapsed="false">
      <c r="A12" s="11" t="s">
        <v>99</v>
      </c>
      <c r="B12" s="12" t="s">
        <v>50</v>
      </c>
      <c r="C12" s="24" t="s">
        <v>87</v>
      </c>
      <c r="D12" s="11" t="s">
        <v>100</v>
      </c>
      <c r="E12" s="13" t="n">
        <v>50000</v>
      </c>
      <c r="F12" s="13" t="n">
        <v>50000</v>
      </c>
      <c r="G12" s="14" t="n">
        <f aca="false">SUMIF('Monthly Recognition'!$A$2:$A$100,$A12,'Monthly Recognition'!$E$2:$E$100)</f>
        <v>0</v>
      </c>
      <c r="H12" s="14" t="n">
        <f aca="false">F12-G12</f>
        <v>50000</v>
      </c>
      <c r="I12" s="12" t="s">
        <v>77</v>
      </c>
      <c r="J12" s="15"/>
    </row>
    <row r="13" customFormat="false" ht="15" hidden="false" customHeight="false" outlineLevel="0" collapsed="false">
      <c r="A13" s="11" t="s">
        <v>101</v>
      </c>
      <c r="B13" s="12" t="s">
        <v>50</v>
      </c>
      <c r="C13" s="24" t="s">
        <v>87</v>
      </c>
      <c r="D13" s="11" t="s">
        <v>102</v>
      </c>
      <c r="E13" s="13" t="n">
        <v>25000</v>
      </c>
      <c r="F13" s="13" t="n">
        <v>25000</v>
      </c>
      <c r="G13" s="14" t="n">
        <f aca="false">SUMIF('Monthly Recognition'!$A$2:$A$100,$A13,'Monthly Recognition'!$E$2:$E$100)</f>
        <v>0</v>
      </c>
      <c r="H13" s="14" t="n">
        <f aca="false">F13-G13</f>
        <v>25000</v>
      </c>
      <c r="I13" s="12" t="s">
        <v>77</v>
      </c>
      <c r="J13" s="15"/>
    </row>
    <row r="14" customFormat="false" ht="15" hidden="false" customHeight="false" outlineLevel="0" collapsed="false">
      <c r="A14" s="11" t="s">
        <v>103</v>
      </c>
      <c r="B14" s="12" t="s">
        <v>50</v>
      </c>
      <c r="C14" s="24" t="s">
        <v>87</v>
      </c>
      <c r="D14" s="11" t="s">
        <v>104</v>
      </c>
      <c r="E14" s="13" t="n">
        <v>434625</v>
      </c>
      <c r="F14" s="13" t="n">
        <v>434625</v>
      </c>
      <c r="G14" s="14" t="n">
        <f aca="false">SUMIF('Monthly Recognition'!$A$2:$A$100,$A14,'Monthly Recognition'!$E$2:$E$100)</f>
        <v>0</v>
      </c>
      <c r="H14" s="14" t="n">
        <f aca="false">F14-G14</f>
        <v>434625</v>
      </c>
      <c r="I14" s="12" t="s">
        <v>77</v>
      </c>
      <c r="J14" s="15"/>
    </row>
    <row r="15" customFormat="false" ht="15" hidden="false" customHeight="false" outlineLevel="0" collapsed="false">
      <c r="A15" s="11" t="s">
        <v>105</v>
      </c>
      <c r="B15" s="12" t="s">
        <v>50</v>
      </c>
      <c r="C15" s="24" t="s">
        <v>87</v>
      </c>
      <c r="D15" s="11" t="s">
        <v>106</v>
      </c>
      <c r="E15" s="13" t="n">
        <v>40375</v>
      </c>
      <c r="F15" s="13" t="n">
        <v>40375</v>
      </c>
      <c r="G15" s="14" t="n">
        <f aca="false">SUMIF('Monthly Recognition'!$A$2:$A$100,$A15,'Monthly Recognition'!$E$2:$E$100)</f>
        <v>0</v>
      </c>
      <c r="H15" s="14" t="n">
        <f aca="false">F15-G15</f>
        <v>40375</v>
      </c>
      <c r="I15" s="12" t="s">
        <v>77</v>
      </c>
      <c r="J15" s="15"/>
    </row>
    <row r="16" customFormat="false" ht="15" hidden="false" customHeight="false" outlineLevel="0" collapsed="false">
      <c r="A16" s="11" t="s">
        <v>107</v>
      </c>
      <c r="B16" s="12" t="s">
        <v>50</v>
      </c>
      <c r="C16" s="24" t="s">
        <v>87</v>
      </c>
      <c r="D16" s="11" t="s">
        <v>108</v>
      </c>
      <c r="E16" s="13" t="n">
        <v>250000</v>
      </c>
      <c r="F16" s="13" t="n">
        <v>250000</v>
      </c>
      <c r="G16" s="14" t="n">
        <f aca="false">SUMIF('Monthly Recognition'!$A$2:$A$100,$A16,'Monthly Recognition'!$E$2:$E$100)</f>
        <v>4342.5</v>
      </c>
      <c r="H16" s="14" t="n">
        <f aca="false">F16-G16</f>
        <v>245657.5</v>
      </c>
      <c r="I16" s="12" t="s">
        <v>74</v>
      </c>
      <c r="J16" s="15"/>
    </row>
    <row r="17" customFormat="false" ht="15" hidden="false" customHeight="false" outlineLevel="0" collapsed="false">
      <c r="A17" s="11" t="s">
        <v>109</v>
      </c>
      <c r="B17" s="12" t="s">
        <v>50</v>
      </c>
      <c r="C17" s="24" t="s">
        <v>87</v>
      </c>
      <c r="D17" s="11" t="s">
        <v>110</v>
      </c>
      <c r="E17" s="13" t="n">
        <v>15000</v>
      </c>
      <c r="F17" s="13" t="n">
        <v>15000</v>
      </c>
      <c r="G17" s="14" t="n">
        <f aca="false">SUMIF('Monthly Recognition'!$A$2:$A$100,$A17,'Monthly Recognition'!$E$2:$E$100)</f>
        <v>0</v>
      </c>
      <c r="H17" s="14" t="n">
        <f aca="false">F17-G17</f>
        <v>15000</v>
      </c>
      <c r="I17" s="12" t="s">
        <v>77</v>
      </c>
      <c r="J17" s="15"/>
    </row>
    <row r="18" customFormat="false" ht="15" hidden="false" customHeight="false" outlineLevel="0" collapsed="false">
      <c r="A18" s="11" t="s">
        <v>111</v>
      </c>
      <c r="B18" s="12" t="s">
        <v>50</v>
      </c>
      <c r="C18" s="24" t="s">
        <v>87</v>
      </c>
      <c r="D18" s="11" t="s">
        <v>112</v>
      </c>
      <c r="E18" s="13" t="n">
        <v>50000</v>
      </c>
      <c r="F18" s="13" t="n">
        <v>50000</v>
      </c>
      <c r="G18" s="14" t="n">
        <f aca="false">SUMIF('Monthly Recognition'!$A$2:$A$100,$A18,'Monthly Recognition'!$E$2:$E$100)</f>
        <v>3496.25</v>
      </c>
      <c r="H18" s="14" t="n">
        <f aca="false">F18-G18</f>
        <v>46503.75</v>
      </c>
      <c r="I18" s="12" t="s">
        <v>74</v>
      </c>
      <c r="J18" s="15"/>
    </row>
    <row r="19" customFormat="false" ht="15" hidden="false" customHeight="false" outlineLevel="0" collapsed="false">
      <c r="A19" s="11" t="s">
        <v>113</v>
      </c>
      <c r="B19" s="12" t="s">
        <v>50</v>
      </c>
      <c r="C19" s="24" t="s">
        <v>87</v>
      </c>
      <c r="D19" s="11" t="s">
        <v>114</v>
      </c>
      <c r="E19" s="13" t="n">
        <v>225000</v>
      </c>
      <c r="F19" s="13" t="n">
        <v>225000</v>
      </c>
      <c r="G19" s="14" t="n">
        <f aca="false">SUMIF('Monthly Recognition'!$A$2:$A$100,$A19,'Monthly Recognition'!$E$2:$E$100)</f>
        <v>56892.5</v>
      </c>
      <c r="H19" s="14" t="n">
        <f aca="false">F19-G19</f>
        <v>168107.5</v>
      </c>
      <c r="I19" s="12" t="s">
        <v>74</v>
      </c>
      <c r="J19" s="15"/>
    </row>
    <row r="20" customFormat="false" ht="15" hidden="false" customHeight="false" outlineLevel="0" collapsed="false">
      <c r="A20" s="11" t="s">
        <v>115</v>
      </c>
      <c r="B20" s="12" t="s">
        <v>50</v>
      </c>
      <c r="C20" s="24" t="s">
        <v>87</v>
      </c>
      <c r="D20" s="11" t="s">
        <v>116</v>
      </c>
      <c r="E20" s="13" t="n">
        <v>225000</v>
      </c>
      <c r="F20" s="13" t="n">
        <v>225000</v>
      </c>
      <c r="G20" s="14" t="n">
        <f aca="false">SUMIF('Monthly Recognition'!$A$2:$A$100,$A20,'Monthly Recognition'!$E$2:$E$100)</f>
        <v>0</v>
      </c>
      <c r="H20" s="14" t="n">
        <f aca="false">F20-G20</f>
        <v>225000</v>
      </c>
      <c r="I20" s="12" t="s">
        <v>77</v>
      </c>
      <c r="J20" s="15" t="s">
        <v>91</v>
      </c>
    </row>
    <row r="21" customFormat="false" ht="15" hidden="false" customHeight="false" outlineLevel="0" collapsed="false">
      <c r="A21" s="11" t="s">
        <v>117</v>
      </c>
      <c r="B21" s="12" t="s">
        <v>53</v>
      </c>
      <c r="C21" s="24" t="s">
        <v>84</v>
      </c>
      <c r="D21" s="11" t="s">
        <v>118</v>
      </c>
      <c r="E21" s="13" t="n">
        <v>440000</v>
      </c>
      <c r="F21" s="13" t="n">
        <v>440000</v>
      </c>
      <c r="G21" s="14" t="n">
        <f aca="false">SUMIF('Monthly Recognition'!$A$2:$A$100,$A21,'Monthly Recognition'!$E$2:$E$100)</f>
        <v>440000</v>
      </c>
      <c r="H21" s="14" t="n">
        <f aca="false">F21-G21</f>
        <v>0</v>
      </c>
      <c r="I21" s="12" t="s">
        <v>82</v>
      </c>
      <c r="J21" s="15"/>
    </row>
    <row r="22" customFormat="false" ht="15" hidden="false" customHeight="false" outlineLevel="0" collapsed="false">
      <c r="A22" s="11" t="s">
        <v>119</v>
      </c>
      <c r="B22" s="12" t="s">
        <v>53</v>
      </c>
      <c r="C22" s="24" t="s">
        <v>84</v>
      </c>
      <c r="D22" s="11" t="s">
        <v>120</v>
      </c>
      <c r="E22" s="13" t="n">
        <v>88000</v>
      </c>
      <c r="F22" s="13" t="n">
        <v>88000</v>
      </c>
      <c r="G22" s="14" t="n">
        <f aca="false">SUMIF('Monthly Recognition'!$A$2:$A$100,$A22,'Monthly Recognition'!$E$2:$E$100)</f>
        <v>74000</v>
      </c>
      <c r="H22" s="14" t="n">
        <f aca="false">F22-G22</f>
        <v>14000</v>
      </c>
      <c r="I22" s="12" t="s">
        <v>74</v>
      </c>
      <c r="J22" s="15"/>
    </row>
    <row r="23" customFormat="false" ht="15" hidden="false" customHeight="false" outlineLevel="0" collapsed="false">
      <c r="A23" s="11" t="s">
        <v>121</v>
      </c>
      <c r="B23" s="12" t="s">
        <v>55</v>
      </c>
      <c r="C23" s="24" t="s">
        <v>122</v>
      </c>
      <c r="D23" s="11" t="s">
        <v>123</v>
      </c>
      <c r="E23" s="13" t="n">
        <v>247250</v>
      </c>
      <c r="F23" s="13" t="n">
        <v>247250</v>
      </c>
      <c r="G23" s="14" t="n">
        <f aca="false">SUMIF('Monthly Recognition'!$A$2:$A$100,$A23,'Monthly Recognition'!$E$2:$E$100)</f>
        <v>122500</v>
      </c>
      <c r="H23" s="14" t="n">
        <f aca="false">F23-G23</f>
        <v>124750</v>
      </c>
      <c r="I23" s="12" t="s">
        <v>74</v>
      </c>
      <c r="J23" s="15" t="s">
        <v>124</v>
      </c>
    </row>
    <row r="24" customFormat="false" ht="15" hidden="false" customHeight="false" outlineLevel="0" collapsed="false">
      <c r="A24" s="11" t="s">
        <v>125</v>
      </c>
      <c r="B24" s="12" t="s">
        <v>58</v>
      </c>
      <c r="C24" s="24" t="s">
        <v>126</v>
      </c>
      <c r="D24" s="11" t="s">
        <v>127</v>
      </c>
      <c r="E24" s="13" t="n">
        <v>310000</v>
      </c>
      <c r="F24" s="13" t="n">
        <v>310000</v>
      </c>
      <c r="G24" s="14" t="n">
        <f aca="false">SUMIF('Monthly Recognition'!$A$2:$A$100,$A24,'Monthly Recognition'!$E$2:$E$100)</f>
        <v>115000</v>
      </c>
      <c r="H24" s="14" t="n">
        <f aca="false">F24-G24</f>
        <v>195000</v>
      </c>
      <c r="I24" s="12" t="s">
        <v>74</v>
      </c>
      <c r="J24" s="15"/>
    </row>
    <row r="25" customFormat="false" ht="15" hidden="false" customHeight="false" outlineLevel="0" collapsed="false">
      <c r="A25" s="11" t="s">
        <v>128</v>
      </c>
      <c r="B25" s="12" t="s">
        <v>58</v>
      </c>
      <c r="C25" s="24" t="s">
        <v>126</v>
      </c>
      <c r="D25" s="11" t="s">
        <v>129</v>
      </c>
      <c r="E25" s="13" t="n">
        <v>30000</v>
      </c>
      <c r="F25" s="13" t="n">
        <v>30000</v>
      </c>
      <c r="G25" s="14" t="n">
        <f aca="false">SUMIF('Monthly Recognition'!$A$2:$A$100,$A25,'Monthly Recognition'!$E$2:$E$100)</f>
        <v>1159.3</v>
      </c>
      <c r="H25" s="14" t="n">
        <f aca="false">F25-G25</f>
        <v>28840.7</v>
      </c>
      <c r="I25" s="12" t="s">
        <v>74</v>
      </c>
      <c r="J25" s="15" t="s">
        <v>91</v>
      </c>
    </row>
    <row r="26" customFormat="false" ht="15" hidden="false" customHeight="false" outlineLevel="0" collapsed="false">
      <c r="A26" s="11" t="s">
        <v>130</v>
      </c>
      <c r="B26" s="12" t="s">
        <v>58</v>
      </c>
      <c r="C26" s="24" t="s">
        <v>126</v>
      </c>
      <c r="D26" s="11" t="s">
        <v>131</v>
      </c>
      <c r="E26" s="13" t="n">
        <v>150000</v>
      </c>
      <c r="F26" s="13" t="n">
        <v>150000</v>
      </c>
      <c r="G26" s="14" t="n">
        <f aca="false">SUMIF('Monthly Recognition'!$A$2:$A$100,$A26,'Monthly Recognition'!$E$2:$E$100)</f>
        <v>0</v>
      </c>
      <c r="H26" s="14" t="n">
        <f aca="false">F26-G26</f>
        <v>150000</v>
      </c>
      <c r="I26" s="12" t="s">
        <v>77</v>
      </c>
      <c r="J26" s="15"/>
    </row>
    <row r="27" customFormat="false" ht="15" hidden="false" customHeight="false" outlineLevel="0" collapsed="false">
      <c r="A27" s="16" t="s">
        <v>132</v>
      </c>
      <c r="B27" s="17" t="s">
        <v>61</v>
      </c>
      <c r="C27" s="25" t="s">
        <v>133</v>
      </c>
      <c r="D27" s="16" t="s">
        <v>134</v>
      </c>
      <c r="E27" s="18" t="n">
        <v>240000</v>
      </c>
      <c r="F27" s="18" t="n">
        <v>240000</v>
      </c>
      <c r="G27" s="19" t="n">
        <f aca="false">SUMIF('Monthly Recognition'!$A$2:$A$100,$A27,'Monthly Recognition'!$E$2:$E$100)</f>
        <v>180000</v>
      </c>
      <c r="H27" s="19" t="n">
        <f aca="false">F27-G27</f>
        <v>60000</v>
      </c>
      <c r="I27" s="17" t="s">
        <v>74</v>
      </c>
      <c r="J27" s="20" t="s">
        <v>135</v>
      </c>
    </row>
    <row r="28" customFormat="false" ht="15" hidden="false" customHeight="false" outlineLevel="0" collapsed="false">
      <c r="A28" s="16" t="s">
        <v>136</v>
      </c>
      <c r="B28" s="17" t="s">
        <v>61</v>
      </c>
      <c r="C28" s="25" t="s">
        <v>133</v>
      </c>
      <c r="D28" s="16" t="s">
        <v>129</v>
      </c>
      <c r="E28" s="18" t="n">
        <v>15153.5</v>
      </c>
      <c r="F28" s="18" t="n">
        <v>15153.5</v>
      </c>
      <c r="G28" s="19" t="n">
        <f aca="false">SUMIF('Monthly Recognition'!$A$2:$A$100,$A28,'Monthly Recognition'!$E$2:$E$100)</f>
        <v>15153.5</v>
      </c>
      <c r="H28" s="19" t="n">
        <f aca="false">F28-G28</f>
        <v>0</v>
      </c>
      <c r="I28" s="17" t="s">
        <v>74</v>
      </c>
      <c r="J28" s="20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0" t="s">
        <v>65</v>
      </c>
      <c r="B1" s="10" t="s">
        <v>33</v>
      </c>
      <c r="C1" s="10" t="s">
        <v>137</v>
      </c>
      <c r="D1" s="10" t="s">
        <v>138</v>
      </c>
      <c r="E1" s="10" t="s">
        <v>139</v>
      </c>
      <c r="F1" s="10" t="s">
        <v>140</v>
      </c>
      <c r="G1" s="10" t="s">
        <v>141</v>
      </c>
      <c r="H1" s="10" t="s">
        <v>42</v>
      </c>
    </row>
    <row r="2" customFormat="false" ht="15" hidden="false" customHeight="false" outlineLevel="0" collapsed="false">
      <c r="A2" s="12" t="s">
        <v>71</v>
      </c>
      <c r="B2" s="11" t="str">
        <f aca="false">INDEX('Sub-Projects (SOWs)'!$B$2:$B$40,MATCH($A2,'Sub-Projects (SOWs)'!$A$2:$A$40,0))</f>
        <v>CMP-01</v>
      </c>
      <c r="C2" s="12" t="s">
        <v>142</v>
      </c>
      <c r="D2" s="12" t="s">
        <v>143</v>
      </c>
      <c r="E2" s="13" t="n">
        <v>75003</v>
      </c>
      <c r="F2" s="26" t="s">
        <v>144</v>
      </c>
      <c r="G2" s="12" t="s">
        <v>45</v>
      </c>
      <c r="H2" s="15"/>
    </row>
    <row r="3" customFormat="false" ht="15" hidden="false" customHeight="false" outlineLevel="0" collapsed="false">
      <c r="A3" s="12" t="s">
        <v>71</v>
      </c>
      <c r="B3" s="11" t="str">
        <f aca="false">INDEX('Sub-Projects (SOWs)'!$B$2:$B$40,MATCH($A3,'Sub-Projects (SOWs)'!$A$2:$A$40,0))</f>
        <v>CMP-01</v>
      </c>
      <c r="C3" s="12" t="s">
        <v>145</v>
      </c>
      <c r="D3" s="12" t="s">
        <v>143</v>
      </c>
      <c r="E3" s="13" t="n">
        <v>75000</v>
      </c>
      <c r="F3" s="26" t="s">
        <v>144</v>
      </c>
      <c r="G3" s="12" t="s">
        <v>45</v>
      </c>
      <c r="H3" s="15"/>
    </row>
    <row r="4" customFormat="false" ht="15" hidden="false" customHeight="false" outlineLevel="0" collapsed="false">
      <c r="A4" s="12" t="s">
        <v>71</v>
      </c>
      <c r="B4" s="11" t="str">
        <f aca="false">INDEX('Sub-Projects (SOWs)'!$B$2:$B$40,MATCH($A4,'Sub-Projects (SOWs)'!$A$2:$A$40,0))</f>
        <v>CMP-01</v>
      </c>
      <c r="C4" s="12" t="s">
        <v>146</v>
      </c>
      <c r="D4" s="12" t="s">
        <v>143</v>
      </c>
      <c r="E4" s="13" t="n">
        <v>70746.75</v>
      </c>
      <c r="F4" s="26" t="s">
        <v>144</v>
      </c>
      <c r="G4" s="12" t="s">
        <v>45</v>
      </c>
      <c r="H4" s="15"/>
    </row>
    <row r="5" customFormat="false" ht="15" hidden="false" customHeight="false" outlineLevel="0" collapsed="false">
      <c r="A5" s="12" t="s">
        <v>71</v>
      </c>
      <c r="B5" s="11" t="str">
        <f aca="false">INDEX('Sub-Projects (SOWs)'!$B$2:$B$40,MATCH($A5,'Sub-Projects (SOWs)'!$A$2:$A$40,0))</f>
        <v>CMP-01</v>
      </c>
      <c r="C5" s="12" t="s">
        <v>147</v>
      </c>
      <c r="D5" s="12" t="s">
        <v>143</v>
      </c>
      <c r="E5" s="13" t="n">
        <v>600</v>
      </c>
      <c r="F5" s="26" t="s">
        <v>144</v>
      </c>
      <c r="G5" s="12" t="s">
        <v>45</v>
      </c>
      <c r="H5" s="15"/>
    </row>
    <row r="6" customFormat="false" ht="15" hidden="false" customHeight="false" outlineLevel="0" collapsed="false">
      <c r="A6" s="12" t="s">
        <v>80</v>
      </c>
      <c r="B6" s="11" t="str">
        <f aca="false">INDEX('Sub-Projects (SOWs)'!$B$2:$B$40,MATCH($A6,'Sub-Projects (SOWs)'!$A$2:$A$40,0))</f>
        <v>CMP-01</v>
      </c>
      <c r="C6" s="12" t="s">
        <v>145</v>
      </c>
      <c r="D6" s="12" t="s">
        <v>143</v>
      </c>
      <c r="E6" s="13" t="n">
        <v>9000</v>
      </c>
      <c r="F6" s="26" t="s">
        <v>144</v>
      </c>
      <c r="G6" s="12" t="s">
        <v>45</v>
      </c>
      <c r="H6" s="15"/>
    </row>
    <row r="7" customFormat="false" ht="15" hidden="false" customHeight="false" outlineLevel="0" collapsed="false">
      <c r="A7" s="12" t="s">
        <v>80</v>
      </c>
      <c r="B7" s="11" t="str">
        <f aca="false">INDEX('Sub-Projects (SOWs)'!$B$2:$B$40,MATCH($A7,'Sub-Projects (SOWs)'!$A$2:$A$40,0))</f>
        <v>CMP-01</v>
      </c>
      <c r="C7" s="12" t="s">
        <v>146</v>
      </c>
      <c r="D7" s="12" t="s">
        <v>143</v>
      </c>
      <c r="E7" s="13" t="n">
        <v>6000</v>
      </c>
      <c r="F7" s="26" t="s">
        <v>144</v>
      </c>
      <c r="G7" s="12" t="s">
        <v>45</v>
      </c>
      <c r="H7" s="15"/>
    </row>
    <row r="8" customFormat="false" ht="15" hidden="false" customHeight="false" outlineLevel="0" collapsed="false">
      <c r="A8" s="12" t="s">
        <v>83</v>
      </c>
      <c r="B8" s="11" t="str">
        <f aca="false">INDEX('Sub-Projects (SOWs)'!$B$2:$B$40,MATCH($A8,'Sub-Projects (SOWs)'!$A$2:$A$40,0))</f>
        <v>CMP-03</v>
      </c>
      <c r="C8" s="12" t="s">
        <v>142</v>
      </c>
      <c r="D8" s="12" t="s">
        <v>143</v>
      </c>
      <c r="E8" s="13" t="n">
        <v>62500</v>
      </c>
      <c r="F8" s="26" t="s">
        <v>144</v>
      </c>
      <c r="G8" s="12" t="s">
        <v>45</v>
      </c>
      <c r="H8" s="15"/>
    </row>
    <row r="9" customFormat="false" ht="15" hidden="false" customHeight="false" outlineLevel="0" collapsed="false">
      <c r="A9" s="12" t="s">
        <v>83</v>
      </c>
      <c r="B9" s="11" t="str">
        <f aca="false">INDEX('Sub-Projects (SOWs)'!$B$2:$B$40,MATCH($A9,'Sub-Projects (SOWs)'!$A$2:$A$40,0))</f>
        <v>CMP-03</v>
      </c>
      <c r="C9" s="12" t="s">
        <v>145</v>
      </c>
      <c r="D9" s="12" t="s">
        <v>143</v>
      </c>
      <c r="E9" s="13" t="n">
        <v>62500</v>
      </c>
      <c r="F9" s="26" t="s">
        <v>144</v>
      </c>
      <c r="G9" s="12" t="s">
        <v>45</v>
      </c>
      <c r="H9" s="15"/>
    </row>
    <row r="10" customFormat="false" ht="15" hidden="false" customHeight="false" outlineLevel="0" collapsed="false">
      <c r="A10" s="12" t="s">
        <v>86</v>
      </c>
      <c r="B10" s="11" t="str">
        <f aca="false">INDEX('Sub-Projects (SOWs)'!$B$2:$B$40,MATCH($A10,'Sub-Projects (SOWs)'!$A$2:$A$40,0))</f>
        <v>CMP-03</v>
      </c>
      <c r="C10" s="12" t="s">
        <v>148</v>
      </c>
      <c r="D10" s="12" t="s">
        <v>143</v>
      </c>
      <c r="E10" s="13" t="n">
        <v>1443.75</v>
      </c>
      <c r="F10" s="26" t="s">
        <v>144</v>
      </c>
      <c r="G10" s="12" t="s">
        <v>45</v>
      </c>
      <c r="H10" s="15"/>
    </row>
    <row r="11" customFormat="false" ht="15" hidden="false" customHeight="false" outlineLevel="0" collapsed="false">
      <c r="A11" s="12" t="s">
        <v>86</v>
      </c>
      <c r="B11" s="11" t="str">
        <f aca="false">INDEX('Sub-Projects (SOWs)'!$B$2:$B$40,MATCH($A11,'Sub-Projects (SOWs)'!$A$2:$A$40,0))</f>
        <v>CMP-03</v>
      </c>
      <c r="C11" s="12" t="s">
        <v>149</v>
      </c>
      <c r="D11" s="12" t="s">
        <v>143</v>
      </c>
      <c r="E11" s="13" t="n">
        <v>52907.5</v>
      </c>
      <c r="F11" s="26" t="s">
        <v>144</v>
      </c>
      <c r="G11" s="12" t="s">
        <v>45</v>
      </c>
      <c r="H11" s="15"/>
    </row>
    <row r="12" customFormat="false" ht="15" hidden="false" customHeight="false" outlineLevel="0" collapsed="false">
      <c r="A12" s="12" t="s">
        <v>92</v>
      </c>
      <c r="B12" s="11" t="str">
        <f aca="false">INDEX('Sub-Projects (SOWs)'!$B$2:$B$40,MATCH($A12,'Sub-Projects (SOWs)'!$A$2:$A$40,0))</f>
        <v>CMP-03</v>
      </c>
      <c r="C12" s="12" t="s">
        <v>149</v>
      </c>
      <c r="D12" s="12" t="s">
        <v>143</v>
      </c>
      <c r="E12" s="13" t="n">
        <v>1032.5</v>
      </c>
      <c r="F12" s="26" t="s">
        <v>144</v>
      </c>
      <c r="G12" s="12" t="s">
        <v>45</v>
      </c>
      <c r="H12" s="15"/>
    </row>
    <row r="13" customFormat="false" ht="15" hidden="false" customHeight="false" outlineLevel="0" collapsed="false">
      <c r="A13" s="12" t="s">
        <v>95</v>
      </c>
      <c r="B13" s="11" t="str">
        <f aca="false">INDEX('Sub-Projects (SOWs)'!$B$2:$B$40,MATCH($A13,'Sub-Projects (SOWs)'!$A$2:$A$40,0))</f>
        <v>CMP-03</v>
      </c>
      <c r="C13" s="12" t="s">
        <v>148</v>
      </c>
      <c r="D13" s="12" t="s">
        <v>143</v>
      </c>
      <c r="E13" s="13" t="n">
        <v>246.25</v>
      </c>
      <c r="F13" s="26" t="s">
        <v>144</v>
      </c>
      <c r="G13" s="12" t="s">
        <v>45</v>
      </c>
      <c r="H13" s="15"/>
    </row>
    <row r="14" customFormat="false" ht="15" hidden="false" customHeight="false" outlineLevel="0" collapsed="false">
      <c r="A14" s="12" t="s">
        <v>95</v>
      </c>
      <c r="B14" s="11" t="str">
        <f aca="false">INDEX('Sub-Projects (SOWs)'!$B$2:$B$40,MATCH($A14,'Sub-Projects (SOWs)'!$A$2:$A$40,0))</f>
        <v>CMP-03</v>
      </c>
      <c r="C14" s="12" t="s">
        <v>149</v>
      </c>
      <c r="D14" s="12" t="s">
        <v>143</v>
      </c>
      <c r="E14" s="13" t="n">
        <v>9755</v>
      </c>
      <c r="F14" s="26" t="s">
        <v>144</v>
      </c>
      <c r="G14" s="12" t="s">
        <v>45</v>
      </c>
      <c r="H14" s="15"/>
    </row>
    <row r="15" customFormat="false" ht="15" hidden="false" customHeight="false" outlineLevel="0" collapsed="false">
      <c r="A15" s="12" t="s">
        <v>97</v>
      </c>
      <c r="B15" s="11" t="str">
        <f aca="false">INDEX('Sub-Projects (SOWs)'!$B$2:$B$40,MATCH($A15,'Sub-Projects (SOWs)'!$A$2:$A$40,0))</f>
        <v>CMP-03</v>
      </c>
      <c r="C15" s="12" t="s">
        <v>149</v>
      </c>
      <c r="D15" s="12" t="s">
        <v>143</v>
      </c>
      <c r="E15" s="13" t="n">
        <v>970</v>
      </c>
      <c r="F15" s="26" t="s">
        <v>144</v>
      </c>
      <c r="G15" s="12" t="s">
        <v>45</v>
      </c>
      <c r="H15" s="15"/>
    </row>
    <row r="16" customFormat="false" ht="15" hidden="false" customHeight="false" outlineLevel="0" collapsed="false">
      <c r="A16" s="12" t="s">
        <v>107</v>
      </c>
      <c r="B16" s="11" t="str">
        <f aca="false">INDEX('Sub-Projects (SOWs)'!$B$2:$B$40,MATCH($A16,'Sub-Projects (SOWs)'!$A$2:$A$40,0))</f>
        <v>CMP-03</v>
      </c>
      <c r="C16" s="12" t="s">
        <v>149</v>
      </c>
      <c r="D16" s="12" t="s">
        <v>143</v>
      </c>
      <c r="E16" s="13" t="n">
        <v>4342.5</v>
      </c>
      <c r="F16" s="26" t="s">
        <v>144</v>
      </c>
      <c r="G16" s="12" t="s">
        <v>45</v>
      </c>
      <c r="H16" s="15"/>
    </row>
    <row r="17" customFormat="false" ht="15" hidden="false" customHeight="false" outlineLevel="0" collapsed="false">
      <c r="A17" s="12" t="s">
        <v>111</v>
      </c>
      <c r="B17" s="11" t="str">
        <f aca="false">INDEX('Sub-Projects (SOWs)'!$B$2:$B$40,MATCH($A17,'Sub-Projects (SOWs)'!$A$2:$A$40,0))</f>
        <v>CMP-03</v>
      </c>
      <c r="C17" s="12" t="s">
        <v>148</v>
      </c>
      <c r="D17" s="12" t="s">
        <v>143</v>
      </c>
      <c r="E17" s="13" t="n">
        <v>350</v>
      </c>
      <c r="F17" s="26" t="s">
        <v>144</v>
      </c>
      <c r="G17" s="12" t="s">
        <v>45</v>
      </c>
      <c r="H17" s="15"/>
    </row>
    <row r="18" customFormat="false" ht="15" hidden="false" customHeight="false" outlineLevel="0" collapsed="false">
      <c r="A18" s="12" t="s">
        <v>111</v>
      </c>
      <c r="B18" s="11" t="str">
        <f aca="false">INDEX('Sub-Projects (SOWs)'!$B$2:$B$40,MATCH($A18,'Sub-Projects (SOWs)'!$A$2:$A$40,0))</f>
        <v>CMP-03</v>
      </c>
      <c r="C18" s="12" t="s">
        <v>149</v>
      </c>
      <c r="D18" s="12" t="s">
        <v>143</v>
      </c>
      <c r="E18" s="13" t="n">
        <v>3146.25</v>
      </c>
      <c r="F18" s="26" t="s">
        <v>144</v>
      </c>
      <c r="G18" s="12" t="s">
        <v>45</v>
      </c>
      <c r="H18" s="15"/>
    </row>
    <row r="19" customFormat="false" ht="15" hidden="false" customHeight="false" outlineLevel="0" collapsed="false">
      <c r="A19" s="12" t="s">
        <v>113</v>
      </c>
      <c r="B19" s="11" t="str">
        <f aca="false">INDEX('Sub-Projects (SOWs)'!$B$2:$B$40,MATCH($A19,'Sub-Projects (SOWs)'!$A$2:$A$40,0))</f>
        <v>CMP-03</v>
      </c>
      <c r="C19" s="12" t="s">
        <v>148</v>
      </c>
      <c r="D19" s="12" t="s">
        <v>143</v>
      </c>
      <c r="E19" s="13" t="n">
        <v>33515</v>
      </c>
      <c r="F19" s="26" t="s">
        <v>144</v>
      </c>
      <c r="G19" s="12" t="s">
        <v>45</v>
      </c>
      <c r="H19" s="15"/>
    </row>
    <row r="20" customFormat="false" ht="15" hidden="false" customHeight="false" outlineLevel="0" collapsed="false">
      <c r="A20" s="12" t="s">
        <v>113</v>
      </c>
      <c r="B20" s="11" t="str">
        <f aca="false">INDEX('Sub-Projects (SOWs)'!$B$2:$B$40,MATCH($A20,'Sub-Projects (SOWs)'!$A$2:$A$40,0))</f>
        <v>CMP-03</v>
      </c>
      <c r="C20" s="12" t="s">
        <v>149</v>
      </c>
      <c r="D20" s="12" t="s">
        <v>143</v>
      </c>
      <c r="E20" s="13" t="n">
        <v>23377.5</v>
      </c>
      <c r="F20" s="26" t="s">
        <v>144</v>
      </c>
      <c r="G20" s="12" t="s">
        <v>45</v>
      </c>
      <c r="H20" s="15"/>
    </row>
    <row r="21" customFormat="false" ht="15" hidden="false" customHeight="false" outlineLevel="0" collapsed="false">
      <c r="A21" s="12" t="s">
        <v>117</v>
      </c>
      <c r="B21" s="11" t="str">
        <f aca="false">INDEX('Sub-Projects (SOWs)'!$B$2:$B$40,MATCH($A21,'Sub-Projects (SOWs)'!$A$2:$A$40,0))</f>
        <v>CMP-04</v>
      </c>
      <c r="C21" s="12" t="s">
        <v>145</v>
      </c>
      <c r="D21" s="12" t="s">
        <v>143</v>
      </c>
      <c r="E21" s="13" t="n">
        <v>70000</v>
      </c>
      <c r="F21" s="26" t="s">
        <v>144</v>
      </c>
      <c r="G21" s="12" t="s">
        <v>45</v>
      </c>
      <c r="H21" s="15"/>
    </row>
    <row r="22" customFormat="false" ht="15" hidden="false" customHeight="false" outlineLevel="0" collapsed="false">
      <c r="A22" s="12" t="s">
        <v>117</v>
      </c>
      <c r="B22" s="11" t="str">
        <f aca="false">INDEX('Sub-Projects (SOWs)'!$B$2:$B$40,MATCH($A22,'Sub-Projects (SOWs)'!$A$2:$A$40,0))</f>
        <v>CMP-04</v>
      </c>
      <c r="C22" s="12" t="s">
        <v>146</v>
      </c>
      <c r="D22" s="12" t="s">
        <v>143</v>
      </c>
      <c r="E22" s="13" t="n">
        <v>200000</v>
      </c>
      <c r="F22" s="26" t="s">
        <v>144</v>
      </c>
      <c r="G22" s="12" t="s">
        <v>45</v>
      </c>
      <c r="H22" s="15"/>
    </row>
    <row r="23" customFormat="false" ht="15" hidden="false" customHeight="false" outlineLevel="0" collapsed="false">
      <c r="A23" s="12" t="s">
        <v>117</v>
      </c>
      <c r="B23" s="11" t="str">
        <f aca="false">INDEX('Sub-Projects (SOWs)'!$B$2:$B$40,MATCH($A23,'Sub-Projects (SOWs)'!$A$2:$A$40,0))</f>
        <v>CMP-04</v>
      </c>
      <c r="C23" s="12" t="s">
        <v>147</v>
      </c>
      <c r="D23" s="12" t="s">
        <v>143</v>
      </c>
      <c r="E23" s="13" t="n">
        <v>110000</v>
      </c>
      <c r="F23" s="26" t="s">
        <v>144</v>
      </c>
      <c r="G23" s="12" t="s">
        <v>45</v>
      </c>
      <c r="H23" s="15"/>
    </row>
    <row r="24" customFormat="false" ht="15" hidden="false" customHeight="false" outlineLevel="0" collapsed="false">
      <c r="A24" s="12" t="s">
        <v>117</v>
      </c>
      <c r="B24" s="11" t="str">
        <f aca="false">INDEX('Sub-Projects (SOWs)'!$B$2:$B$40,MATCH($A24,'Sub-Projects (SOWs)'!$A$2:$A$40,0))</f>
        <v>CMP-04</v>
      </c>
      <c r="C24" s="12" t="s">
        <v>150</v>
      </c>
      <c r="D24" s="12" t="s">
        <v>143</v>
      </c>
      <c r="E24" s="13" t="n">
        <v>60000</v>
      </c>
      <c r="F24" s="26" t="s">
        <v>144</v>
      </c>
      <c r="G24" s="12" t="s">
        <v>45</v>
      </c>
      <c r="H24" s="15"/>
    </row>
    <row r="25" customFormat="false" ht="15" hidden="false" customHeight="false" outlineLevel="0" collapsed="false">
      <c r="A25" s="12" t="s">
        <v>119</v>
      </c>
      <c r="B25" s="11" t="str">
        <f aca="false">INDEX('Sub-Projects (SOWs)'!$B$2:$B$40,MATCH($A25,'Sub-Projects (SOWs)'!$A$2:$A$40,0))</f>
        <v>CMP-04</v>
      </c>
      <c r="C25" s="12" t="s">
        <v>148</v>
      </c>
      <c r="D25" s="12" t="s">
        <v>143</v>
      </c>
      <c r="E25" s="13" t="n">
        <v>22000</v>
      </c>
      <c r="F25" s="26" t="s">
        <v>144</v>
      </c>
      <c r="G25" s="12" t="s">
        <v>45</v>
      </c>
      <c r="H25" s="15"/>
    </row>
    <row r="26" customFormat="false" ht="15" hidden="false" customHeight="false" outlineLevel="0" collapsed="false">
      <c r="A26" s="12" t="s">
        <v>119</v>
      </c>
      <c r="B26" s="11" t="str">
        <f aca="false">INDEX('Sub-Projects (SOWs)'!$B$2:$B$40,MATCH($A26,'Sub-Projects (SOWs)'!$A$2:$A$40,0))</f>
        <v>CMP-04</v>
      </c>
      <c r="C26" s="12" t="s">
        <v>149</v>
      </c>
      <c r="D26" s="12" t="s">
        <v>143</v>
      </c>
      <c r="E26" s="13" t="n">
        <v>52000</v>
      </c>
      <c r="F26" s="26" t="s">
        <v>144</v>
      </c>
      <c r="G26" s="12" t="s">
        <v>45</v>
      </c>
      <c r="H26" s="15"/>
    </row>
    <row r="27" customFormat="false" ht="15" hidden="false" customHeight="false" outlineLevel="0" collapsed="false">
      <c r="A27" s="12" t="s">
        <v>121</v>
      </c>
      <c r="B27" s="11" t="str">
        <f aca="false">INDEX('Sub-Projects (SOWs)'!$B$2:$B$40,MATCH($A27,'Sub-Projects (SOWs)'!$A$2:$A$40,0))</f>
        <v>CMP-05</v>
      </c>
      <c r="C27" s="12" t="s">
        <v>146</v>
      </c>
      <c r="D27" s="12" t="s">
        <v>143</v>
      </c>
      <c r="E27" s="13" t="n">
        <v>19500</v>
      </c>
      <c r="F27" s="12" t="s">
        <v>151</v>
      </c>
      <c r="G27" s="12" t="s">
        <v>45</v>
      </c>
      <c r="H27" s="15" t="s">
        <v>152</v>
      </c>
    </row>
    <row r="28" customFormat="false" ht="15" hidden="false" customHeight="false" outlineLevel="0" collapsed="false">
      <c r="A28" s="12" t="s">
        <v>121</v>
      </c>
      <c r="B28" s="11" t="str">
        <f aca="false">INDEX('Sub-Projects (SOWs)'!$B$2:$B$40,MATCH($A28,'Sub-Projects (SOWs)'!$A$2:$A$40,0))</f>
        <v>CMP-05</v>
      </c>
      <c r="C28" s="12" t="s">
        <v>147</v>
      </c>
      <c r="D28" s="12" t="s">
        <v>143</v>
      </c>
      <c r="E28" s="13" t="n">
        <v>14500</v>
      </c>
      <c r="F28" s="12" t="s">
        <v>153</v>
      </c>
      <c r="G28" s="12" t="s">
        <v>45</v>
      </c>
      <c r="H28" s="15" t="s">
        <v>154</v>
      </c>
    </row>
    <row r="29" customFormat="false" ht="15" hidden="false" customHeight="false" outlineLevel="0" collapsed="false">
      <c r="A29" s="12" t="s">
        <v>121</v>
      </c>
      <c r="B29" s="11" t="str">
        <f aca="false">INDEX('Sub-Projects (SOWs)'!$B$2:$B$40,MATCH($A29,'Sub-Projects (SOWs)'!$A$2:$A$40,0))</f>
        <v>CMP-05</v>
      </c>
      <c r="C29" s="12" t="s">
        <v>148</v>
      </c>
      <c r="D29" s="12" t="s">
        <v>143</v>
      </c>
      <c r="E29" s="13" t="n">
        <v>30000</v>
      </c>
      <c r="F29" s="12" t="s">
        <v>153</v>
      </c>
      <c r="G29" s="12" t="s">
        <v>45</v>
      </c>
      <c r="H29" s="15" t="s">
        <v>155</v>
      </c>
    </row>
    <row r="30" customFormat="false" ht="15" hidden="false" customHeight="false" outlineLevel="0" collapsed="false">
      <c r="A30" s="12" t="s">
        <v>121</v>
      </c>
      <c r="B30" s="11" t="str">
        <f aca="false">INDEX('Sub-Projects (SOWs)'!$B$2:$B$40,MATCH($A30,'Sub-Projects (SOWs)'!$A$2:$A$40,0))</f>
        <v>CMP-05</v>
      </c>
      <c r="C30" s="12" t="s">
        <v>150</v>
      </c>
      <c r="D30" s="12" t="s">
        <v>143</v>
      </c>
      <c r="E30" s="13" t="n">
        <v>14500</v>
      </c>
      <c r="F30" s="12" t="s">
        <v>156</v>
      </c>
      <c r="G30" s="12" t="s">
        <v>45</v>
      </c>
      <c r="H30" s="15" t="s">
        <v>157</v>
      </c>
    </row>
    <row r="31" customFormat="false" ht="15" hidden="false" customHeight="false" outlineLevel="0" collapsed="false">
      <c r="A31" s="12" t="s">
        <v>121</v>
      </c>
      <c r="B31" s="11" t="str">
        <f aca="false">INDEX('Sub-Projects (SOWs)'!$B$2:$B$40,MATCH($A31,'Sub-Projects (SOWs)'!$A$2:$A$40,0))</f>
        <v>CMP-05</v>
      </c>
      <c r="C31" s="12" t="s">
        <v>148</v>
      </c>
      <c r="D31" s="12" t="s">
        <v>143</v>
      </c>
      <c r="E31" s="13" t="n">
        <v>21500</v>
      </c>
      <c r="F31" s="12" t="s">
        <v>158</v>
      </c>
      <c r="G31" s="12" t="s">
        <v>45</v>
      </c>
      <c r="H31" s="15" t="s">
        <v>159</v>
      </c>
    </row>
    <row r="32" customFormat="false" ht="15" hidden="false" customHeight="false" outlineLevel="0" collapsed="false">
      <c r="A32" s="12" t="s">
        <v>121</v>
      </c>
      <c r="B32" s="11" t="str">
        <f aca="false">INDEX('Sub-Projects (SOWs)'!$B$2:$B$40,MATCH($A32,'Sub-Projects (SOWs)'!$A$2:$A$40,0))</f>
        <v>CMP-05</v>
      </c>
      <c r="C32" s="12" t="s">
        <v>149</v>
      </c>
      <c r="D32" s="12" t="s">
        <v>143</v>
      </c>
      <c r="E32" s="13" t="n">
        <v>22500</v>
      </c>
      <c r="F32" s="12" t="s">
        <v>160</v>
      </c>
      <c r="G32" s="12" t="s">
        <v>45</v>
      </c>
      <c r="H32" s="15" t="s">
        <v>161</v>
      </c>
    </row>
    <row r="33" customFormat="false" ht="15" hidden="false" customHeight="false" outlineLevel="0" collapsed="false">
      <c r="A33" s="12" t="s">
        <v>125</v>
      </c>
      <c r="B33" s="11" t="str">
        <f aca="false">INDEX('Sub-Projects (SOWs)'!$B$2:$B$40,MATCH($A33,'Sub-Projects (SOWs)'!$A$2:$A$40,0))</f>
        <v>CMP-06</v>
      </c>
      <c r="C33" s="12" t="s">
        <v>142</v>
      </c>
      <c r="D33" s="12" t="s">
        <v>143</v>
      </c>
      <c r="E33" s="13" t="n">
        <v>15000</v>
      </c>
      <c r="F33" s="26" t="s">
        <v>144</v>
      </c>
      <c r="G33" s="12" t="s">
        <v>45</v>
      </c>
      <c r="H33" s="15"/>
    </row>
    <row r="34" customFormat="false" ht="15" hidden="false" customHeight="false" outlineLevel="0" collapsed="false">
      <c r="A34" s="12" t="s">
        <v>125</v>
      </c>
      <c r="B34" s="11" t="str">
        <f aca="false">INDEX('Sub-Projects (SOWs)'!$B$2:$B$40,MATCH($A34,'Sub-Projects (SOWs)'!$A$2:$A$40,0))</f>
        <v>CMP-06</v>
      </c>
      <c r="C34" s="12" t="s">
        <v>145</v>
      </c>
      <c r="D34" s="12" t="s">
        <v>143</v>
      </c>
      <c r="E34" s="13" t="n">
        <v>15000</v>
      </c>
      <c r="F34" s="26" t="s">
        <v>144</v>
      </c>
      <c r="G34" s="12" t="s">
        <v>45</v>
      </c>
      <c r="H34" s="15"/>
    </row>
    <row r="35" customFormat="false" ht="15" hidden="false" customHeight="false" outlineLevel="0" collapsed="false">
      <c r="A35" s="12" t="s">
        <v>125</v>
      </c>
      <c r="B35" s="11" t="str">
        <f aca="false">INDEX('Sub-Projects (SOWs)'!$B$2:$B$40,MATCH($A35,'Sub-Projects (SOWs)'!$A$2:$A$40,0))</f>
        <v>CMP-06</v>
      </c>
      <c r="C35" s="12" t="s">
        <v>146</v>
      </c>
      <c r="D35" s="12" t="s">
        <v>143</v>
      </c>
      <c r="E35" s="13" t="n">
        <v>20000</v>
      </c>
      <c r="F35" s="26" t="s">
        <v>144</v>
      </c>
      <c r="G35" s="12" t="s">
        <v>45</v>
      </c>
      <c r="H35" s="15"/>
    </row>
    <row r="36" customFormat="false" ht="15" hidden="false" customHeight="false" outlineLevel="0" collapsed="false">
      <c r="A36" s="12" t="s">
        <v>125</v>
      </c>
      <c r="B36" s="11" t="str">
        <f aca="false">INDEX('Sub-Projects (SOWs)'!$B$2:$B$40,MATCH($A36,'Sub-Projects (SOWs)'!$A$2:$A$40,0))</f>
        <v>CMP-06</v>
      </c>
      <c r="C36" s="12" t="s">
        <v>147</v>
      </c>
      <c r="D36" s="12" t="s">
        <v>143</v>
      </c>
      <c r="E36" s="13" t="n">
        <v>20000</v>
      </c>
      <c r="F36" s="26" t="s">
        <v>144</v>
      </c>
      <c r="G36" s="12" t="s">
        <v>45</v>
      </c>
      <c r="H36" s="15"/>
    </row>
    <row r="37" customFormat="false" ht="15" hidden="false" customHeight="false" outlineLevel="0" collapsed="false">
      <c r="A37" s="12" t="s">
        <v>125</v>
      </c>
      <c r="B37" s="11" t="str">
        <f aca="false">INDEX('Sub-Projects (SOWs)'!$B$2:$B$40,MATCH($A37,'Sub-Projects (SOWs)'!$A$2:$A$40,0))</f>
        <v>CMP-06</v>
      </c>
      <c r="C37" s="12" t="s">
        <v>150</v>
      </c>
      <c r="D37" s="12" t="s">
        <v>143</v>
      </c>
      <c r="E37" s="13" t="n">
        <v>15000</v>
      </c>
      <c r="F37" s="26" t="s">
        <v>144</v>
      </c>
      <c r="G37" s="12" t="s">
        <v>45</v>
      </c>
      <c r="H37" s="15"/>
    </row>
    <row r="38" customFormat="false" ht="15" hidden="false" customHeight="false" outlineLevel="0" collapsed="false">
      <c r="A38" s="12" t="s">
        <v>125</v>
      </c>
      <c r="B38" s="11" t="str">
        <f aca="false">INDEX('Sub-Projects (SOWs)'!$B$2:$B$40,MATCH($A38,'Sub-Projects (SOWs)'!$A$2:$A$40,0))</f>
        <v>CMP-06</v>
      </c>
      <c r="C38" s="12" t="s">
        <v>148</v>
      </c>
      <c r="D38" s="12" t="s">
        <v>143</v>
      </c>
      <c r="E38" s="13" t="n">
        <v>15000</v>
      </c>
      <c r="F38" s="26" t="s">
        <v>144</v>
      </c>
      <c r="G38" s="12" t="s">
        <v>45</v>
      </c>
      <c r="H38" s="15"/>
    </row>
    <row r="39" customFormat="false" ht="15" hidden="false" customHeight="false" outlineLevel="0" collapsed="false">
      <c r="A39" s="12" t="s">
        <v>125</v>
      </c>
      <c r="B39" s="11" t="str">
        <f aca="false">INDEX('Sub-Projects (SOWs)'!$B$2:$B$40,MATCH($A39,'Sub-Projects (SOWs)'!$A$2:$A$40,0))</f>
        <v>CMP-06</v>
      </c>
      <c r="C39" s="12" t="s">
        <v>149</v>
      </c>
      <c r="D39" s="12" t="s">
        <v>143</v>
      </c>
      <c r="E39" s="13" t="n">
        <v>15000</v>
      </c>
      <c r="F39" s="26" t="s">
        <v>144</v>
      </c>
      <c r="G39" s="12" t="s">
        <v>45</v>
      </c>
      <c r="H39" s="15"/>
    </row>
    <row r="40" customFormat="false" ht="15" hidden="false" customHeight="false" outlineLevel="0" collapsed="false">
      <c r="A40" s="12" t="s">
        <v>128</v>
      </c>
      <c r="B40" s="11" t="str">
        <f aca="false">INDEX('Sub-Projects (SOWs)'!$B$2:$B$40,MATCH($A40,'Sub-Projects (SOWs)'!$A$2:$A$40,0))</f>
        <v>CMP-06</v>
      </c>
      <c r="C40" s="12" t="s">
        <v>148</v>
      </c>
      <c r="D40" s="12" t="s">
        <v>162</v>
      </c>
      <c r="E40" s="13" t="n">
        <v>650</v>
      </c>
      <c r="F40" s="26" t="s">
        <v>144</v>
      </c>
      <c r="G40" s="12" t="s">
        <v>45</v>
      </c>
      <c r="H40" s="15" t="s">
        <v>129</v>
      </c>
    </row>
    <row r="41" customFormat="false" ht="15" hidden="false" customHeight="false" outlineLevel="0" collapsed="false">
      <c r="A41" s="12" t="s">
        <v>128</v>
      </c>
      <c r="B41" s="11" t="str">
        <f aca="false">INDEX('Sub-Projects (SOWs)'!$B$2:$B$40,MATCH($A41,'Sub-Projects (SOWs)'!$A$2:$A$40,0))</f>
        <v>CMP-06</v>
      </c>
      <c r="C41" s="12" t="s">
        <v>149</v>
      </c>
      <c r="D41" s="12" t="s">
        <v>162</v>
      </c>
      <c r="E41" s="13" t="n">
        <v>509.3</v>
      </c>
      <c r="F41" s="26" t="s">
        <v>144</v>
      </c>
      <c r="G41" s="12" t="s">
        <v>45</v>
      </c>
      <c r="H41" s="15" t="s">
        <v>129</v>
      </c>
    </row>
    <row r="42" customFormat="false" ht="15" hidden="false" customHeight="false" outlineLevel="0" collapsed="false">
      <c r="A42" s="12" t="s">
        <v>132</v>
      </c>
      <c r="B42" s="11" t="str">
        <f aca="false">INDEX('Sub-Projects (SOWs)'!$B$2:$B$40,MATCH($A42,'Sub-Projects (SOWs)'!$A$2:$A$40,0))</f>
        <v>CMP-07</v>
      </c>
      <c r="C42" s="12" t="s">
        <v>150</v>
      </c>
      <c r="D42" s="12" t="s">
        <v>143</v>
      </c>
      <c r="E42" s="13" t="n">
        <v>60000</v>
      </c>
      <c r="F42" s="12" t="s">
        <v>163</v>
      </c>
      <c r="G42" s="12" t="s">
        <v>45</v>
      </c>
      <c r="H42" s="15"/>
    </row>
    <row r="43" customFormat="false" ht="15" hidden="false" customHeight="false" outlineLevel="0" collapsed="false">
      <c r="A43" s="12" t="s">
        <v>132</v>
      </c>
      <c r="B43" s="11" t="str">
        <f aca="false">INDEX('Sub-Projects (SOWs)'!$B$2:$B$40,MATCH($A43,'Sub-Projects (SOWs)'!$A$2:$A$40,0))</f>
        <v>CMP-07</v>
      </c>
      <c r="C43" s="12" t="s">
        <v>148</v>
      </c>
      <c r="D43" s="12" t="s">
        <v>143</v>
      </c>
      <c r="E43" s="13" t="n">
        <v>60000</v>
      </c>
      <c r="F43" s="12" t="s">
        <v>164</v>
      </c>
      <c r="G43" s="12" t="s">
        <v>45</v>
      </c>
      <c r="H43" s="15"/>
    </row>
    <row r="44" customFormat="false" ht="15" hidden="false" customHeight="false" outlineLevel="0" collapsed="false">
      <c r="A44" s="12" t="s">
        <v>132</v>
      </c>
      <c r="B44" s="11" t="str">
        <f aca="false">INDEX('Sub-Projects (SOWs)'!$B$2:$B$40,MATCH($A44,'Sub-Projects (SOWs)'!$A$2:$A$40,0))</f>
        <v>CMP-07</v>
      </c>
      <c r="C44" s="12" t="s">
        <v>149</v>
      </c>
      <c r="D44" s="12" t="s">
        <v>143</v>
      </c>
      <c r="E44" s="13" t="n">
        <v>60000</v>
      </c>
      <c r="F44" s="12" t="s">
        <v>165</v>
      </c>
      <c r="G44" s="12" t="s">
        <v>45</v>
      </c>
      <c r="H44" s="15"/>
    </row>
    <row r="45" customFormat="false" ht="15" hidden="false" customHeight="false" outlineLevel="0" collapsed="false">
      <c r="A45" s="12" t="s">
        <v>136</v>
      </c>
      <c r="B45" s="11" t="str">
        <f aca="false">INDEX('Sub-Projects (SOWs)'!$B$2:$B$40,MATCH($A45,'Sub-Projects (SOWs)'!$A$2:$A$40,0))</f>
        <v>CMP-07</v>
      </c>
      <c r="C45" s="12" t="s">
        <v>150</v>
      </c>
      <c r="D45" s="12" t="s">
        <v>162</v>
      </c>
      <c r="E45" s="13" t="n">
        <v>8874.92</v>
      </c>
      <c r="F45" s="12" t="s">
        <v>166</v>
      </c>
      <c r="G45" s="12" t="s">
        <v>45</v>
      </c>
      <c r="H45" s="15" t="s">
        <v>129</v>
      </c>
    </row>
    <row r="46" customFormat="false" ht="15" hidden="false" customHeight="false" outlineLevel="0" collapsed="false">
      <c r="A46" s="12" t="s">
        <v>136</v>
      </c>
      <c r="B46" s="11" t="str">
        <f aca="false">INDEX('Sub-Projects (SOWs)'!$B$2:$B$40,MATCH($A46,'Sub-Projects (SOWs)'!$A$2:$A$40,0))</f>
        <v>CMP-07</v>
      </c>
      <c r="C46" s="12" t="s">
        <v>149</v>
      </c>
      <c r="D46" s="12" t="s">
        <v>143</v>
      </c>
      <c r="E46" s="13" t="n">
        <v>6278.58</v>
      </c>
      <c r="F46" s="26" t="s">
        <v>144</v>
      </c>
      <c r="G46" s="12" t="s">
        <v>45</v>
      </c>
      <c r="H46" s="15" t="s">
        <v>167</v>
      </c>
    </row>
  </sheetData>
  <dataValidations count="2">
    <dataValidation allowBlank="true" errorStyle="stop" operator="between" showDropDown="false" showErrorMessage="false" showInputMessage="false" sqref="G2:G46" type="list">
      <formula1>"Y,N"</formula1>
      <formula2>0</formula2>
    </dataValidation>
    <dataValidation allowBlank="true" errorStyle="stop" operator="between" showDropDown="false" showErrorMessage="false" showInputMessage="false" sqref="D2:D46" type="list">
      <formula1>"Fee,Expense"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0" t="s">
        <v>140</v>
      </c>
      <c r="B1" s="10" t="s">
        <v>168</v>
      </c>
      <c r="C1" s="10" t="s">
        <v>169</v>
      </c>
      <c r="D1" s="10" t="s">
        <v>170</v>
      </c>
      <c r="E1" s="10" t="s">
        <v>139</v>
      </c>
      <c r="F1" s="10" t="s">
        <v>70</v>
      </c>
      <c r="G1" s="10" t="s">
        <v>171</v>
      </c>
      <c r="H1" s="10" t="s">
        <v>172</v>
      </c>
    </row>
    <row r="2" customFormat="false" ht="15" hidden="false" customHeight="false" outlineLevel="0" collapsed="false">
      <c r="A2" s="11" t="s">
        <v>151</v>
      </c>
      <c r="B2" s="11" t="str">
        <f aca="false">IFERROR(INDEX(Campaigns!$B$2:$B$10,MATCH("CMP-05",Campaigns!$A$2:$A$10,0)),"")</f>
        <v>Haas F1 Partnership</v>
      </c>
      <c r="C2" s="11" t="s">
        <v>121</v>
      </c>
      <c r="D2" s="12" t="s">
        <v>146</v>
      </c>
      <c r="E2" s="14" t="n">
        <f aca="false">SUMIF('Monthly Recognition'!$F$2:$F$100,$A2,'Monthly Recognition'!$E$2:$E$100)</f>
        <v>19500</v>
      </c>
      <c r="F2" s="12" t="s">
        <v>173</v>
      </c>
      <c r="G2" s="12"/>
      <c r="H2" s="15"/>
    </row>
    <row r="3" customFormat="false" ht="15" hidden="false" customHeight="false" outlineLevel="0" collapsed="false">
      <c r="A3" s="11" t="s">
        <v>153</v>
      </c>
      <c r="B3" s="11" t="str">
        <f aca="false">IFERROR(INDEX(Campaigns!$B$2:$B$10,MATCH("CMP-05",Campaigns!$A$2:$A$10,0)),"")</f>
        <v>Haas F1 Partnership</v>
      </c>
      <c r="C3" s="11" t="s">
        <v>121</v>
      </c>
      <c r="D3" s="12" t="s">
        <v>174</v>
      </c>
      <c r="E3" s="14" t="n">
        <f aca="false">SUMIF('Monthly Recognition'!$F$2:$F$100,$A3,'Monthly Recognition'!$E$2:$E$100)</f>
        <v>44500</v>
      </c>
      <c r="F3" s="12" t="s">
        <v>173</v>
      </c>
      <c r="G3" s="12"/>
      <c r="H3" s="15" t="s">
        <v>175</v>
      </c>
    </row>
    <row r="4" customFormat="false" ht="15" hidden="false" customHeight="false" outlineLevel="0" collapsed="false">
      <c r="A4" s="11" t="s">
        <v>156</v>
      </c>
      <c r="B4" s="11" t="str">
        <f aca="false">IFERROR(INDEX(Campaigns!$B$2:$B$10,MATCH("CMP-05",Campaigns!$A$2:$A$10,0)),"")</f>
        <v>Haas F1 Partnership</v>
      </c>
      <c r="C4" s="11" t="s">
        <v>121</v>
      </c>
      <c r="D4" s="12" t="s">
        <v>150</v>
      </c>
      <c r="E4" s="14" t="n">
        <f aca="false">SUMIF('Monthly Recognition'!$F$2:$F$100,$A4,'Monthly Recognition'!$E$2:$E$100)</f>
        <v>14500</v>
      </c>
      <c r="F4" s="12" t="s">
        <v>173</v>
      </c>
      <c r="G4" s="12"/>
      <c r="H4" s="15"/>
    </row>
    <row r="5" customFormat="false" ht="15" hidden="false" customHeight="false" outlineLevel="0" collapsed="false">
      <c r="A5" s="11" t="s">
        <v>158</v>
      </c>
      <c r="B5" s="11" t="str">
        <f aca="false">IFERROR(INDEX(Campaigns!$B$2:$B$10,MATCH("CMP-05",Campaigns!$A$2:$A$10,0)),"")</f>
        <v>Haas F1 Partnership</v>
      </c>
      <c r="C5" s="11" t="s">
        <v>121</v>
      </c>
      <c r="D5" s="12" t="s">
        <v>148</v>
      </c>
      <c r="E5" s="14" t="n">
        <f aca="false">SUMIF('Monthly Recognition'!$F$2:$F$100,$A5,'Monthly Recognition'!$E$2:$E$100)</f>
        <v>21500</v>
      </c>
      <c r="F5" s="12" t="s">
        <v>173</v>
      </c>
      <c r="G5" s="12"/>
      <c r="H5" s="15"/>
    </row>
    <row r="6" customFormat="false" ht="15" hidden="false" customHeight="false" outlineLevel="0" collapsed="false">
      <c r="A6" s="11" t="s">
        <v>160</v>
      </c>
      <c r="B6" s="11" t="str">
        <f aca="false">IFERROR(INDEX(Campaigns!$B$2:$B$10,MATCH("CMP-05",Campaigns!$A$2:$A$10,0)),"")</f>
        <v>Haas F1 Partnership</v>
      </c>
      <c r="C6" s="11" t="s">
        <v>121</v>
      </c>
      <c r="D6" s="12" t="s">
        <v>149</v>
      </c>
      <c r="E6" s="14" t="n">
        <f aca="false">SUMIF('Monthly Recognition'!$F$2:$F$100,$A6,'Monthly Recognition'!$E$2:$E$100)</f>
        <v>22500</v>
      </c>
      <c r="F6" s="12" t="s">
        <v>173</v>
      </c>
      <c r="G6" s="12"/>
      <c r="H6" s="15"/>
    </row>
    <row r="7" customFormat="false" ht="15" hidden="false" customHeight="false" outlineLevel="0" collapsed="false">
      <c r="A7" s="16" t="s">
        <v>176</v>
      </c>
      <c r="B7" s="16" t="str">
        <f aca="false">IFERROR(INDEX(Campaigns!$B$2:$B$10,MATCH("CMP-05",Campaigns!$A$2:$A$10,0)),"")</f>
        <v>Haas F1 Partnership</v>
      </c>
      <c r="C7" s="16" t="s">
        <v>121</v>
      </c>
      <c r="D7" s="17" t="s">
        <v>177</v>
      </c>
      <c r="E7" s="19" t="n">
        <f aca="false">SUMIF('Monthly Recognition'!$F$2:$F$100,$A7,'Monthly Recognition'!$E$2:$E$100)</f>
        <v>0</v>
      </c>
      <c r="F7" s="17" t="s">
        <v>178</v>
      </c>
      <c r="G7" s="17"/>
      <c r="H7" s="20" t="s">
        <v>179</v>
      </c>
    </row>
    <row r="8" customFormat="false" ht="15" hidden="false" customHeight="false" outlineLevel="0" collapsed="false">
      <c r="A8" s="16" t="s">
        <v>180</v>
      </c>
      <c r="B8" s="16" t="str">
        <f aca="false">IFERROR(INDEX(Campaigns!$B$2:$B$10,MATCH("CMP-05",Campaigns!$A$2:$A$10,0)),"")</f>
        <v>Haas F1 Partnership</v>
      </c>
      <c r="C8" s="16" t="s">
        <v>121</v>
      </c>
      <c r="D8" s="17" t="s">
        <v>181</v>
      </c>
      <c r="E8" s="19" t="n">
        <f aca="false">SUMIF('Monthly Recognition'!$F$2:$F$100,$A8,'Monthly Recognition'!$E$2:$E$100)</f>
        <v>0</v>
      </c>
      <c r="F8" s="17" t="s">
        <v>178</v>
      </c>
      <c r="G8" s="17"/>
      <c r="H8" s="20" t="s">
        <v>182</v>
      </c>
    </row>
    <row r="9" customFormat="false" ht="15" hidden="false" customHeight="false" outlineLevel="0" collapsed="false">
      <c r="A9" s="16" t="s">
        <v>183</v>
      </c>
      <c r="B9" s="16" t="str">
        <f aca="false">IFERROR(INDEX(Campaigns!$B$2:$B$10,MATCH("CMP-05",Campaigns!$A$2:$A$10,0)),"")</f>
        <v>Haas F1 Partnership</v>
      </c>
      <c r="C9" s="16" t="s">
        <v>121</v>
      </c>
      <c r="D9" s="17" t="s">
        <v>184</v>
      </c>
      <c r="E9" s="19" t="n">
        <f aca="false">SUMIF('Monthly Recognition'!$F$2:$F$100,$A9,'Monthly Recognition'!$E$2:$E$100)</f>
        <v>0</v>
      </c>
      <c r="F9" s="17" t="s">
        <v>178</v>
      </c>
      <c r="G9" s="17"/>
      <c r="H9" s="20" t="s">
        <v>185</v>
      </c>
    </row>
    <row r="10" customFormat="false" ht="15" hidden="false" customHeight="false" outlineLevel="0" collapsed="false">
      <c r="A10" s="16" t="s">
        <v>186</v>
      </c>
      <c r="B10" s="16" t="str">
        <f aca="false">IFERROR(INDEX(Campaigns!$B$2:$B$10,MATCH("CMP-05",Campaigns!$A$2:$A$10,0)),"")</f>
        <v>Haas F1 Partnership</v>
      </c>
      <c r="C10" s="16" t="s">
        <v>121</v>
      </c>
      <c r="D10" s="17" t="s">
        <v>187</v>
      </c>
      <c r="E10" s="19" t="n">
        <f aca="false">SUMIF('Monthly Recognition'!$F$2:$F$100,$A10,'Monthly Recognition'!$E$2:$E$100)</f>
        <v>0</v>
      </c>
      <c r="F10" s="17" t="s">
        <v>178</v>
      </c>
      <c r="G10" s="17"/>
      <c r="H10" s="20" t="s">
        <v>188</v>
      </c>
    </row>
    <row r="11" customFormat="false" ht="15" hidden="false" customHeight="false" outlineLevel="0" collapsed="false">
      <c r="A11" s="16" t="s">
        <v>189</v>
      </c>
      <c r="B11" s="16" t="str">
        <f aca="false">IFERROR(INDEX(Campaigns!$B$2:$B$10,MATCH("CMP-05",Campaigns!$A$2:$A$10,0)),"")</f>
        <v>Haas F1 Partnership</v>
      </c>
      <c r="C11" s="16" t="s">
        <v>121</v>
      </c>
      <c r="D11" s="17" t="s">
        <v>190</v>
      </c>
      <c r="E11" s="19" t="n">
        <f aca="false">SUMIF('Monthly Recognition'!$F$2:$F$100,$A11,'Monthly Recognition'!$E$2:$E$100)</f>
        <v>0</v>
      </c>
      <c r="F11" s="17" t="s">
        <v>178</v>
      </c>
      <c r="G11" s="17"/>
      <c r="H11" s="20" t="s">
        <v>188</v>
      </c>
    </row>
    <row r="12" customFormat="false" ht="15" hidden="false" customHeight="false" outlineLevel="0" collapsed="false">
      <c r="A12" s="16" t="s">
        <v>191</v>
      </c>
      <c r="B12" s="16" t="str">
        <f aca="false">IFERROR(INDEX(Campaigns!$B$2:$B$10,MATCH("CMP-05",Campaigns!$A$2:$A$10,0)),"")</f>
        <v>Haas F1 Partnership</v>
      </c>
      <c r="C12" s="16" t="s">
        <v>121</v>
      </c>
      <c r="D12" s="17" t="s">
        <v>192</v>
      </c>
      <c r="E12" s="19" t="n">
        <f aca="false">SUMIF('Monthly Recognition'!$F$2:$F$100,$A12,'Monthly Recognition'!$E$2:$E$100)</f>
        <v>0</v>
      </c>
      <c r="F12" s="17" t="s">
        <v>178</v>
      </c>
      <c r="G12" s="17"/>
      <c r="H12" s="20" t="s">
        <v>185</v>
      </c>
    </row>
    <row r="13" customFormat="false" ht="15" hidden="false" customHeight="false" outlineLevel="0" collapsed="false">
      <c r="A13" s="16" t="s">
        <v>193</v>
      </c>
      <c r="B13" s="16" t="str">
        <f aca="false">IFERROR(INDEX(Campaigns!$B$2:$B$10,MATCH("CMP-05",Campaigns!$A$2:$A$10,0)),"")</f>
        <v>Haas F1 Partnership</v>
      </c>
      <c r="C13" s="16" t="s">
        <v>121</v>
      </c>
      <c r="D13" s="17" t="s">
        <v>194</v>
      </c>
      <c r="E13" s="19" t="n">
        <f aca="false">SUMIF('Monthly Recognition'!$F$2:$F$100,$A13,'Monthly Recognition'!$E$2:$E$100)</f>
        <v>0</v>
      </c>
      <c r="F13" s="17" t="s">
        <v>178</v>
      </c>
      <c r="G13" s="17"/>
      <c r="H13" s="20" t="s">
        <v>185</v>
      </c>
    </row>
    <row r="14" customFormat="false" ht="15" hidden="false" customHeight="false" outlineLevel="0" collapsed="false">
      <c r="A14" s="11" t="s">
        <v>163</v>
      </c>
      <c r="B14" s="11" t="str">
        <f aca="false">IFERROR(INDEX(Campaigns!$B$2:$B$10,MATCH("CMP-07",Campaigns!$A$2:$A$10,0)),"")</f>
        <v>Comms AOR</v>
      </c>
      <c r="C14" s="11" t="s">
        <v>132</v>
      </c>
      <c r="D14" s="12" t="s">
        <v>150</v>
      </c>
      <c r="E14" s="14" t="n">
        <f aca="false">SUMIF('Monthly Recognition'!$F$2:$F$100,$A14,'Monthly Recognition'!$E$2:$E$100)</f>
        <v>60000</v>
      </c>
      <c r="F14" s="12" t="s">
        <v>173</v>
      </c>
      <c r="G14" s="12"/>
      <c r="H14" s="15"/>
    </row>
    <row r="15" customFormat="false" ht="15" hidden="false" customHeight="false" outlineLevel="0" collapsed="false">
      <c r="A15" s="11" t="s">
        <v>164</v>
      </c>
      <c r="B15" s="11" t="str">
        <f aca="false">IFERROR(INDEX(Campaigns!$B$2:$B$10,MATCH("CMP-07",Campaigns!$A$2:$A$10,0)),"")</f>
        <v>Comms AOR</v>
      </c>
      <c r="C15" s="11" t="s">
        <v>132</v>
      </c>
      <c r="D15" s="12" t="s">
        <v>148</v>
      </c>
      <c r="E15" s="14" t="n">
        <f aca="false">SUMIF('Monthly Recognition'!$F$2:$F$100,$A15,'Monthly Recognition'!$E$2:$E$100)</f>
        <v>60000</v>
      </c>
      <c r="F15" s="12" t="s">
        <v>173</v>
      </c>
      <c r="G15" s="12"/>
      <c r="H15" s="15"/>
    </row>
    <row r="16" customFormat="false" ht="15" hidden="false" customHeight="false" outlineLevel="0" collapsed="false">
      <c r="A16" s="11" t="s">
        <v>165</v>
      </c>
      <c r="B16" s="11" t="str">
        <f aca="false">IFERROR(INDEX(Campaigns!$B$2:$B$10,MATCH("CMP-07",Campaigns!$A$2:$A$10,0)),"")</f>
        <v>Comms AOR</v>
      </c>
      <c r="C16" s="11" t="s">
        <v>132</v>
      </c>
      <c r="D16" s="12" t="s">
        <v>149</v>
      </c>
      <c r="E16" s="14" t="n">
        <f aca="false">SUMIF('Monthly Recognition'!$F$2:$F$100,$A16,'Monthly Recognition'!$E$2:$E$100)</f>
        <v>60000</v>
      </c>
      <c r="F16" s="12" t="s">
        <v>173</v>
      </c>
      <c r="G16" s="12"/>
      <c r="H16" s="15"/>
    </row>
    <row r="17" customFormat="false" ht="15" hidden="false" customHeight="false" outlineLevel="0" collapsed="false">
      <c r="A17" s="16" t="s">
        <v>195</v>
      </c>
      <c r="B17" s="16" t="str">
        <f aca="false">IFERROR(INDEX(Campaigns!$B$2:$B$10,MATCH("CMP-07",Campaigns!$A$2:$A$10,0)),"")</f>
        <v>Comms AOR</v>
      </c>
      <c r="C17" s="16" t="s">
        <v>132</v>
      </c>
      <c r="D17" s="17" t="s">
        <v>177</v>
      </c>
      <c r="E17" s="19" t="n">
        <f aca="false">SUMIF('Monthly Recognition'!$F$2:$F$100,$A17,'Monthly Recognition'!$E$2:$E$100)</f>
        <v>0</v>
      </c>
      <c r="F17" s="17" t="s">
        <v>178</v>
      </c>
      <c r="G17" s="17"/>
      <c r="H17" s="20" t="s">
        <v>196</v>
      </c>
    </row>
    <row r="18" customFormat="false" ht="15" hidden="false" customHeight="false" outlineLevel="0" collapsed="false">
      <c r="A18" s="11" t="s">
        <v>166</v>
      </c>
      <c r="B18" s="11" t="str">
        <f aca="false">IFERROR(INDEX(Campaigns!$B$2:$B$10,MATCH("CMP-07",Campaigns!$A$2:$A$10,0)),"")</f>
        <v>Comms AOR</v>
      </c>
      <c r="C18" s="11" t="s">
        <v>136</v>
      </c>
      <c r="D18" s="12" t="s">
        <v>150</v>
      </c>
      <c r="E18" s="14" t="n">
        <f aca="false">SUMIF('Monthly Recognition'!$F$2:$F$100,$A18,'Monthly Recognition'!$E$2:$E$100)</f>
        <v>8874.92</v>
      </c>
      <c r="F18" s="12" t="s">
        <v>173</v>
      </c>
      <c r="G18" s="12"/>
      <c r="H18" s="15" t="s">
        <v>197</v>
      </c>
    </row>
    <row r="20" customFormat="false" ht="15" hidden="false" customHeight="false" outlineLevel="0" collapsed="false">
      <c r="A20" s="27" t="s">
        <v>198</v>
      </c>
      <c r="B20" s="27"/>
      <c r="C20" s="27"/>
      <c r="D20" s="27"/>
      <c r="E20" s="27"/>
      <c r="F20" s="27"/>
      <c r="G20" s="27"/>
      <c r="H20" s="27"/>
    </row>
    <row r="21" customFormat="false" ht="15" hidden="false" customHeight="false" outlineLevel="0" collapsed="false">
      <c r="A21" s="28" t="n">
        <f aca="false">SUMIF('Monthly Recognition'!$F$2:$F$100,"Not yet assigned",'Monthly Recognition'!$E$2:$E$100)</f>
        <v>1128873.88</v>
      </c>
      <c r="B21" s="29" t="s">
        <v>199</v>
      </c>
      <c r="C21" s="29"/>
      <c r="D21" s="29"/>
      <c r="E21" s="29"/>
      <c r="F21" s="29"/>
      <c r="G21" s="29"/>
      <c r="H21" s="29"/>
    </row>
  </sheetData>
  <mergeCells count="2">
    <mergeCell ref="A20:H20"/>
    <mergeCell ref="B21:H21"/>
  </mergeCells>
  <dataValidations count="1">
    <dataValidation allowBlank="true" errorStyle="stop" operator="between" showDropDown="false" showErrorMessage="false" showInputMessage="false" sqref="F2:F18" type="list">
      <formula1>"Not Yet Sent,Sent to Finance,Confirmed by Finance"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2026-07-22T18:26:31Z</dcterms:created>
  <dc:creator>openpyxl</dc:creator>
  <dc:description/>
  <dc:language>en-US</dc:language>
  <cp:lastModifiedBy/>
  <dcterms:modified xsi:type="dcterms:W3CDTF">2026-07-22T18:26:31Z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